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D-Data.and.Software\0.Important Files&amp;Documents\1.2015至今历年文件\11.2026\5.Github数据分析项目\personal-finance-analyzer-excel-main\templates\"/>
    </mc:Choice>
  </mc:AlternateContent>
  <xr:revisionPtr revIDLastSave="0" documentId="13_ncr:1_{B35124FA-D013-4B18-8646-205FD881254A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Instructions" sheetId="1" r:id="rId1"/>
    <sheet name="Dashboard" sheetId="2" r:id="rId2"/>
    <sheet name="Expense_Input" sheetId="3" r:id="rId3"/>
    <sheet name="Income_Input" sheetId="4" r:id="rId4"/>
    <sheet name="Input_Settings" sheetId="5" r:id="rId5"/>
    <sheet name="Sales_Tax_Settings" sheetId="6" r:id="rId6"/>
    <sheet name="Monthly_Summary" sheetId="7" r:id="rId7"/>
    <sheet name="Category_Summary" sheetId="8" r:id="rId8"/>
    <sheet name="Sales_Tax_Analysis" sheetId="9" r:id="rId9"/>
    <sheet name="Formula_Hub" sheetId="10" r:id="rId10"/>
    <sheet name="Sales_Tax_Detail" sheetId="11" r:id="rId11"/>
    <sheet name="Annual_Projection" sheetId="12" r:id="rId12"/>
    <sheet name="Emergency_Fund" sheetId="13" r:id="rId13"/>
    <sheet name="Investable_Cash" sheetId="14" r:id="rId14"/>
    <sheet name="Formula_Notes" sheetId="15" r:id="rId15"/>
    <sheet name="Lists" sheetId="16" r:id="rId1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4" l="1"/>
  <c r="D6" i="12"/>
  <c r="A6" i="12"/>
  <c r="D5" i="12"/>
  <c r="A5" i="12"/>
  <c r="D4" i="12"/>
  <c r="A4" i="12"/>
  <c r="H500" i="11"/>
  <c r="G500" i="11"/>
  <c r="F500" i="11"/>
  <c r="I500" i="11" s="1"/>
  <c r="E500" i="11"/>
  <c r="D500" i="11"/>
  <c r="J500" i="11" s="1"/>
  <c r="B500" i="11"/>
  <c r="C500" i="11" s="1"/>
  <c r="A500" i="11"/>
  <c r="H499" i="11"/>
  <c r="G499" i="11"/>
  <c r="F499" i="11"/>
  <c r="I499" i="11" s="1"/>
  <c r="E499" i="11"/>
  <c r="D499" i="11"/>
  <c r="J499" i="11" s="1"/>
  <c r="B499" i="11"/>
  <c r="C499" i="11" s="1"/>
  <c r="A499" i="11"/>
  <c r="H498" i="11"/>
  <c r="G498" i="11"/>
  <c r="F498" i="11"/>
  <c r="I498" i="11" s="1"/>
  <c r="E498" i="11"/>
  <c r="D498" i="11"/>
  <c r="J498" i="11" s="1"/>
  <c r="B498" i="11"/>
  <c r="C498" i="11" s="1"/>
  <c r="A498" i="11"/>
  <c r="H497" i="11"/>
  <c r="G497" i="11"/>
  <c r="F497" i="11"/>
  <c r="I497" i="11" s="1"/>
  <c r="E497" i="11"/>
  <c r="D497" i="11"/>
  <c r="J497" i="11" s="1"/>
  <c r="B497" i="11"/>
  <c r="C497" i="11" s="1"/>
  <c r="A497" i="11"/>
  <c r="H496" i="11"/>
  <c r="G496" i="11"/>
  <c r="F496" i="11"/>
  <c r="I496" i="11" s="1"/>
  <c r="E496" i="11"/>
  <c r="D496" i="11"/>
  <c r="J496" i="11" s="1"/>
  <c r="B496" i="11"/>
  <c r="C496" i="11" s="1"/>
  <c r="A496" i="11"/>
  <c r="H495" i="11"/>
  <c r="G495" i="11"/>
  <c r="F495" i="11"/>
  <c r="I495" i="11" s="1"/>
  <c r="E495" i="11"/>
  <c r="D495" i="11"/>
  <c r="J495" i="11" s="1"/>
  <c r="B495" i="11"/>
  <c r="C495" i="11" s="1"/>
  <c r="A495" i="11"/>
  <c r="H494" i="11"/>
  <c r="G494" i="11"/>
  <c r="F494" i="11"/>
  <c r="I494" i="11" s="1"/>
  <c r="E494" i="11"/>
  <c r="D494" i="11"/>
  <c r="J494" i="11" s="1"/>
  <c r="B494" i="11"/>
  <c r="C494" i="11" s="1"/>
  <c r="A494" i="11"/>
  <c r="H493" i="11"/>
  <c r="G493" i="11"/>
  <c r="F493" i="11"/>
  <c r="I493" i="11" s="1"/>
  <c r="E493" i="11"/>
  <c r="D493" i="11"/>
  <c r="J493" i="11" s="1"/>
  <c r="B493" i="11"/>
  <c r="C493" i="11" s="1"/>
  <c r="A493" i="11"/>
  <c r="H492" i="11"/>
  <c r="G492" i="11"/>
  <c r="F492" i="11"/>
  <c r="I492" i="11" s="1"/>
  <c r="E492" i="11"/>
  <c r="D492" i="11"/>
  <c r="J492" i="11" s="1"/>
  <c r="B492" i="11"/>
  <c r="C492" i="11" s="1"/>
  <c r="A492" i="11"/>
  <c r="H491" i="11"/>
  <c r="G491" i="11"/>
  <c r="F491" i="11"/>
  <c r="I491" i="11" s="1"/>
  <c r="E491" i="11"/>
  <c r="D491" i="11"/>
  <c r="J491" i="11" s="1"/>
  <c r="B491" i="11"/>
  <c r="C491" i="11" s="1"/>
  <c r="A491" i="11"/>
  <c r="H490" i="11"/>
  <c r="G490" i="11"/>
  <c r="F490" i="11"/>
  <c r="I490" i="11" s="1"/>
  <c r="E490" i="11"/>
  <c r="D490" i="11"/>
  <c r="J490" i="11" s="1"/>
  <c r="B490" i="11"/>
  <c r="C490" i="11" s="1"/>
  <c r="A490" i="11"/>
  <c r="H489" i="11"/>
  <c r="G489" i="11"/>
  <c r="F489" i="11"/>
  <c r="I489" i="11" s="1"/>
  <c r="E489" i="11"/>
  <c r="D489" i="11"/>
  <c r="J489" i="11" s="1"/>
  <c r="B489" i="11"/>
  <c r="C489" i="11" s="1"/>
  <c r="A489" i="11"/>
  <c r="H488" i="11"/>
  <c r="G488" i="11"/>
  <c r="F488" i="11"/>
  <c r="I488" i="11" s="1"/>
  <c r="E488" i="11"/>
  <c r="D488" i="11"/>
  <c r="J488" i="11" s="1"/>
  <c r="B488" i="11"/>
  <c r="C488" i="11" s="1"/>
  <c r="A488" i="11"/>
  <c r="H487" i="11"/>
  <c r="G487" i="11"/>
  <c r="F487" i="11"/>
  <c r="I487" i="11" s="1"/>
  <c r="E487" i="11"/>
  <c r="D487" i="11"/>
  <c r="J487" i="11" s="1"/>
  <c r="B487" i="11"/>
  <c r="C487" i="11" s="1"/>
  <c r="A487" i="11"/>
  <c r="H486" i="11"/>
  <c r="G486" i="11"/>
  <c r="F486" i="11"/>
  <c r="I486" i="11" s="1"/>
  <c r="E486" i="11"/>
  <c r="D486" i="11"/>
  <c r="J486" i="11" s="1"/>
  <c r="B486" i="11"/>
  <c r="C486" i="11" s="1"/>
  <c r="A486" i="11"/>
  <c r="H485" i="11"/>
  <c r="G485" i="11"/>
  <c r="F485" i="11"/>
  <c r="I485" i="11" s="1"/>
  <c r="E485" i="11"/>
  <c r="D485" i="11"/>
  <c r="J485" i="11" s="1"/>
  <c r="B485" i="11"/>
  <c r="C485" i="11" s="1"/>
  <c r="A485" i="11"/>
  <c r="H484" i="11"/>
  <c r="G484" i="11"/>
  <c r="F484" i="11"/>
  <c r="I484" i="11" s="1"/>
  <c r="E484" i="11"/>
  <c r="D484" i="11"/>
  <c r="J484" i="11" s="1"/>
  <c r="B484" i="11"/>
  <c r="C484" i="11" s="1"/>
  <c r="A484" i="11"/>
  <c r="H483" i="11"/>
  <c r="G483" i="11"/>
  <c r="F483" i="11"/>
  <c r="I483" i="11" s="1"/>
  <c r="E483" i="11"/>
  <c r="D483" i="11"/>
  <c r="J483" i="11" s="1"/>
  <c r="B483" i="11"/>
  <c r="C483" i="11" s="1"/>
  <c r="A483" i="11"/>
  <c r="H482" i="11"/>
  <c r="G482" i="11"/>
  <c r="F482" i="11"/>
  <c r="I482" i="11" s="1"/>
  <c r="E482" i="11"/>
  <c r="D482" i="11"/>
  <c r="J482" i="11" s="1"/>
  <c r="B482" i="11"/>
  <c r="C482" i="11" s="1"/>
  <c r="A482" i="11"/>
  <c r="H481" i="11"/>
  <c r="G481" i="11"/>
  <c r="F481" i="11"/>
  <c r="I481" i="11" s="1"/>
  <c r="E481" i="11"/>
  <c r="D481" i="11"/>
  <c r="J481" i="11" s="1"/>
  <c r="B481" i="11"/>
  <c r="C481" i="11" s="1"/>
  <c r="A481" i="11"/>
  <c r="H480" i="11"/>
  <c r="G480" i="11"/>
  <c r="F480" i="11"/>
  <c r="I480" i="11" s="1"/>
  <c r="E480" i="11"/>
  <c r="D480" i="11"/>
  <c r="J480" i="11" s="1"/>
  <c r="B480" i="11"/>
  <c r="C480" i="11" s="1"/>
  <c r="A480" i="11"/>
  <c r="H479" i="11"/>
  <c r="G479" i="11"/>
  <c r="F479" i="11"/>
  <c r="I479" i="11" s="1"/>
  <c r="E479" i="11"/>
  <c r="D479" i="11"/>
  <c r="J479" i="11" s="1"/>
  <c r="B479" i="11"/>
  <c r="C479" i="11" s="1"/>
  <c r="A479" i="11"/>
  <c r="H478" i="11"/>
  <c r="G478" i="11"/>
  <c r="F478" i="11"/>
  <c r="I478" i="11" s="1"/>
  <c r="E478" i="11"/>
  <c r="D478" i="11"/>
  <c r="J478" i="11" s="1"/>
  <c r="B478" i="11"/>
  <c r="C478" i="11" s="1"/>
  <c r="A478" i="11"/>
  <c r="H477" i="11"/>
  <c r="G477" i="11"/>
  <c r="F477" i="11"/>
  <c r="I477" i="11" s="1"/>
  <c r="E477" i="11"/>
  <c r="D477" i="11"/>
  <c r="J477" i="11" s="1"/>
  <c r="B477" i="11"/>
  <c r="C477" i="11" s="1"/>
  <c r="A477" i="11"/>
  <c r="H476" i="11"/>
  <c r="G476" i="11"/>
  <c r="F476" i="11"/>
  <c r="I476" i="11" s="1"/>
  <c r="E476" i="11"/>
  <c r="D476" i="11"/>
  <c r="J476" i="11" s="1"/>
  <c r="B476" i="11"/>
  <c r="C476" i="11" s="1"/>
  <c r="A476" i="11"/>
  <c r="H475" i="11"/>
  <c r="G475" i="11"/>
  <c r="F475" i="11"/>
  <c r="I475" i="11" s="1"/>
  <c r="E475" i="11"/>
  <c r="D475" i="11"/>
  <c r="J475" i="11" s="1"/>
  <c r="B475" i="11"/>
  <c r="C475" i="11" s="1"/>
  <c r="A475" i="11"/>
  <c r="H474" i="11"/>
  <c r="G474" i="11"/>
  <c r="F474" i="11"/>
  <c r="I474" i="11" s="1"/>
  <c r="E474" i="11"/>
  <c r="D474" i="11"/>
  <c r="J474" i="11" s="1"/>
  <c r="B474" i="11"/>
  <c r="C474" i="11" s="1"/>
  <c r="A474" i="11"/>
  <c r="H473" i="11"/>
  <c r="G473" i="11"/>
  <c r="F473" i="11"/>
  <c r="I473" i="11" s="1"/>
  <c r="E473" i="11"/>
  <c r="D473" i="11"/>
  <c r="J473" i="11" s="1"/>
  <c r="B473" i="11"/>
  <c r="C473" i="11" s="1"/>
  <c r="A473" i="11"/>
  <c r="H472" i="11"/>
  <c r="G472" i="11"/>
  <c r="F472" i="11"/>
  <c r="I472" i="11" s="1"/>
  <c r="E472" i="11"/>
  <c r="D472" i="11"/>
  <c r="J472" i="11" s="1"/>
  <c r="B472" i="11"/>
  <c r="C472" i="11" s="1"/>
  <c r="A472" i="11"/>
  <c r="H471" i="11"/>
  <c r="G471" i="11"/>
  <c r="F471" i="11"/>
  <c r="I471" i="11" s="1"/>
  <c r="E471" i="11"/>
  <c r="D471" i="11"/>
  <c r="J471" i="11" s="1"/>
  <c r="B471" i="11"/>
  <c r="C471" i="11" s="1"/>
  <c r="A471" i="11"/>
  <c r="H470" i="11"/>
  <c r="G470" i="11"/>
  <c r="F470" i="11"/>
  <c r="I470" i="11" s="1"/>
  <c r="E470" i="11"/>
  <c r="D470" i="11"/>
  <c r="J470" i="11" s="1"/>
  <c r="B470" i="11"/>
  <c r="C470" i="11" s="1"/>
  <c r="A470" i="11"/>
  <c r="H469" i="11"/>
  <c r="G469" i="11"/>
  <c r="F469" i="11"/>
  <c r="I469" i="11" s="1"/>
  <c r="E469" i="11"/>
  <c r="D469" i="11"/>
  <c r="J469" i="11" s="1"/>
  <c r="B469" i="11"/>
  <c r="C469" i="11" s="1"/>
  <c r="A469" i="11"/>
  <c r="H468" i="11"/>
  <c r="G468" i="11"/>
  <c r="F468" i="11"/>
  <c r="I468" i="11" s="1"/>
  <c r="E468" i="11"/>
  <c r="D468" i="11"/>
  <c r="J468" i="11" s="1"/>
  <c r="B468" i="11"/>
  <c r="C468" i="11" s="1"/>
  <c r="A468" i="11"/>
  <c r="H467" i="11"/>
  <c r="G467" i="11"/>
  <c r="F467" i="11"/>
  <c r="I467" i="11" s="1"/>
  <c r="E467" i="11"/>
  <c r="D467" i="11"/>
  <c r="J467" i="11" s="1"/>
  <c r="B467" i="11"/>
  <c r="C467" i="11" s="1"/>
  <c r="A467" i="11"/>
  <c r="H466" i="11"/>
  <c r="G466" i="11"/>
  <c r="F466" i="11"/>
  <c r="I466" i="11" s="1"/>
  <c r="E466" i="11"/>
  <c r="D466" i="11"/>
  <c r="J466" i="11" s="1"/>
  <c r="B466" i="11"/>
  <c r="C466" i="11" s="1"/>
  <c r="A466" i="11"/>
  <c r="H465" i="11"/>
  <c r="G465" i="11"/>
  <c r="F465" i="11"/>
  <c r="I465" i="11" s="1"/>
  <c r="E465" i="11"/>
  <c r="D465" i="11"/>
  <c r="J465" i="11" s="1"/>
  <c r="B465" i="11"/>
  <c r="C465" i="11" s="1"/>
  <c r="A465" i="11"/>
  <c r="H464" i="11"/>
  <c r="G464" i="11"/>
  <c r="F464" i="11"/>
  <c r="I464" i="11" s="1"/>
  <c r="E464" i="11"/>
  <c r="D464" i="11"/>
  <c r="J464" i="11" s="1"/>
  <c r="B464" i="11"/>
  <c r="C464" i="11" s="1"/>
  <c r="A464" i="11"/>
  <c r="H463" i="11"/>
  <c r="G463" i="11"/>
  <c r="F463" i="11"/>
  <c r="I463" i="11" s="1"/>
  <c r="E463" i="11"/>
  <c r="D463" i="11"/>
  <c r="J463" i="11" s="1"/>
  <c r="B463" i="11"/>
  <c r="C463" i="11" s="1"/>
  <c r="A463" i="11"/>
  <c r="H462" i="11"/>
  <c r="G462" i="11"/>
  <c r="F462" i="11"/>
  <c r="I462" i="11" s="1"/>
  <c r="E462" i="11"/>
  <c r="D462" i="11"/>
  <c r="J462" i="11" s="1"/>
  <c r="B462" i="11"/>
  <c r="C462" i="11" s="1"/>
  <c r="A462" i="11"/>
  <c r="H461" i="11"/>
  <c r="G461" i="11"/>
  <c r="F461" i="11"/>
  <c r="I461" i="11" s="1"/>
  <c r="E461" i="11"/>
  <c r="D461" i="11"/>
  <c r="J461" i="11" s="1"/>
  <c r="B461" i="11"/>
  <c r="C461" i="11" s="1"/>
  <c r="A461" i="11"/>
  <c r="H460" i="11"/>
  <c r="G460" i="11"/>
  <c r="F460" i="11"/>
  <c r="I460" i="11" s="1"/>
  <c r="E460" i="11"/>
  <c r="D460" i="11"/>
  <c r="J460" i="11" s="1"/>
  <c r="B460" i="11"/>
  <c r="C460" i="11" s="1"/>
  <c r="A460" i="11"/>
  <c r="H459" i="11"/>
  <c r="G459" i="11"/>
  <c r="F459" i="11"/>
  <c r="I459" i="11" s="1"/>
  <c r="E459" i="11"/>
  <c r="D459" i="11"/>
  <c r="J459" i="11" s="1"/>
  <c r="B459" i="11"/>
  <c r="C459" i="11" s="1"/>
  <c r="A459" i="11"/>
  <c r="H458" i="11"/>
  <c r="G458" i="11"/>
  <c r="F458" i="11"/>
  <c r="I458" i="11" s="1"/>
  <c r="E458" i="11"/>
  <c r="D458" i="11"/>
  <c r="J458" i="11" s="1"/>
  <c r="B458" i="11"/>
  <c r="C458" i="11" s="1"/>
  <c r="A458" i="11"/>
  <c r="H457" i="11"/>
  <c r="G457" i="11"/>
  <c r="F457" i="11"/>
  <c r="I457" i="11" s="1"/>
  <c r="E457" i="11"/>
  <c r="D457" i="11"/>
  <c r="J457" i="11" s="1"/>
  <c r="B457" i="11"/>
  <c r="C457" i="11" s="1"/>
  <c r="A457" i="11"/>
  <c r="H456" i="11"/>
  <c r="G456" i="11"/>
  <c r="F456" i="11"/>
  <c r="I456" i="11" s="1"/>
  <c r="E456" i="11"/>
  <c r="D456" i="11"/>
  <c r="J456" i="11" s="1"/>
  <c r="B456" i="11"/>
  <c r="C456" i="11" s="1"/>
  <c r="A456" i="11"/>
  <c r="H455" i="11"/>
  <c r="G455" i="11"/>
  <c r="F455" i="11"/>
  <c r="I455" i="11" s="1"/>
  <c r="E455" i="11"/>
  <c r="D455" i="11"/>
  <c r="J455" i="11" s="1"/>
  <c r="B455" i="11"/>
  <c r="C455" i="11" s="1"/>
  <c r="A455" i="11"/>
  <c r="H454" i="11"/>
  <c r="G454" i="11"/>
  <c r="F454" i="11"/>
  <c r="I454" i="11" s="1"/>
  <c r="E454" i="11"/>
  <c r="D454" i="11"/>
  <c r="J454" i="11" s="1"/>
  <c r="B454" i="11"/>
  <c r="C454" i="11" s="1"/>
  <c r="A454" i="11"/>
  <c r="H453" i="11"/>
  <c r="G453" i="11"/>
  <c r="F453" i="11"/>
  <c r="I453" i="11" s="1"/>
  <c r="E453" i="11"/>
  <c r="D453" i="11"/>
  <c r="J453" i="11" s="1"/>
  <c r="B453" i="11"/>
  <c r="C453" i="11" s="1"/>
  <c r="A453" i="11"/>
  <c r="H452" i="11"/>
  <c r="G452" i="11"/>
  <c r="F452" i="11"/>
  <c r="I452" i="11" s="1"/>
  <c r="E452" i="11"/>
  <c r="D452" i="11"/>
  <c r="J452" i="11" s="1"/>
  <c r="B452" i="11"/>
  <c r="C452" i="11" s="1"/>
  <c r="A452" i="11"/>
  <c r="H451" i="11"/>
  <c r="G451" i="11"/>
  <c r="F451" i="11"/>
  <c r="I451" i="11" s="1"/>
  <c r="E451" i="11"/>
  <c r="D451" i="11"/>
  <c r="J451" i="11" s="1"/>
  <c r="B451" i="11"/>
  <c r="C451" i="11" s="1"/>
  <c r="A451" i="11"/>
  <c r="H450" i="11"/>
  <c r="G450" i="11"/>
  <c r="F450" i="11"/>
  <c r="I450" i="11" s="1"/>
  <c r="E450" i="11"/>
  <c r="D450" i="11"/>
  <c r="J450" i="11" s="1"/>
  <c r="B450" i="11"/>
  <c r="C450" i="11" s="1"/>
  <c r="A450" i="11"/>
  <c r="H449" i="11"/>
  <c r="G449" i="11"/>
  <c r="F449" i="11"/>
  <c r="I449" i="11" s="1"/>
  <c r="E449" i="11"/>
  <c r="D449" i="11"/>
  <c r="J449" i="11" s="1"/>
  <c r="B449" i="11"/>
  <c r="C449" i="11" s="1"/>
  <c r="A449" i="11"/>
  <c r="H448" i="11"/>
  <c r="G448" i="11"/>
  <c r="F448" i="11"/>
  <c r="I448" i="11" s="1"/>
  <c r="E448" i="11"/>
  <c r="D448" i="11"/>
  <c r="J448" i="11" s="1"/>
  <c r="B448" i="11"/>
  <c r="C448" i="11" s="1"/>
  <c r="A448" i="11"/>
  <c r="H447" i="11"/>
  <c r="G447" i="11"/>
  <c r="F447" i="11"/>
  <c r="I447" i="11" s="1"/>
  <c r="E447" i="11"/>
  <c r="D447" i="11"/>
  <c r="J447" i="11" s="1"/>
  <c r="B447" i="11"/>
  <c r="C447" i="11" s="1"/>
  <c r="A447" i="11"/>
  <c r="H446" i="11"/>
  <c r="G446" i="11"/>
  <c r="F446" i="11"/>
  <c r="I446" i="11" s="1"/>
  <c r="E446" i="11"/>
  <c r="D446" i="11"/>
  <c r="J446" i="11" s="1"/>
  <c r="B446" i="11"/>
  <c r="C446" i="11" s="1"/>
  <c r="A446" i="11"/>
  <c r="H445" i="11"/>
  <c r="G445" i="11"/>
  <c r="F445" i="11"/>
  <c r="I445" i="11" s="1"/>
  <c r="E445" i="11"/>
  <c r="D445" i="11"/>
  <c r="J445" i="11" s="1"/>
  <c r="B445" i="11"/>
  <c r="C445" i="11" s="1"/>
  <c r="A445" i="11"/>
  <c r="H444" i="11"/>
  <c r="G444" i="11"/>
  <c r="F444" i="11"/>
  <c r="I444" i="11" s="1"/>
  <c r="E444" i="11"/>
  <c r="D444" i="11"/>
  <c r="J444" i="11" s="1"/>
  <c r="B444" i="11"/>
  <c r="C444" i="11" s="1"/>
  <c r="A444" i="11"/>
  <c r="H443" i="11"/>
  <c r="G443" i="11"/>
  <c r="F443" i="11"/>
  <c r="I443" i="11" s="1"/>
  <c r="E443" i="11"/>
  <c r="D443" i="11"/>
  <c r="J443" i="11" s="1"/>
  <c r="B443" i="11"/>
  <c r="C443" i="11" s="1"/>
  <c r="A443" i="11"/>
  <c r="H442" i="11"/>
  <c r="G442" i="11"/>
  <c r="F442" i="11"/>
  <c r="I442" i="11" s="1"/>
  <c r="E442" i="11"/>
  <c r="D442" i="11"/>
  <c r="J442" i="11" s="1"/>
  <c r="B442" i="11"/>
  <c r="C442" i="11" s="1"/>
  <c r="A442" i="11"/>
  <c r="H441" i="11"/>
  <c r="G441" i="11"/>
  <c r="F441" i="11"/>
  <c r="I441" i="11" s="1"/>
  <c r="E441" i="11"/>
  <c r="D441" i="11"/>
  <c r="J441" i="11" s="1"/>
  <c r="B441" i="11"/>
  <c r="C441" i="11" s="1"/>
  <c r="A441" i="11"/>
  <c r="H440" i="11"/>
  <c r="G440" i="11"/>
  <c r="F440" i="11"/>
  <c r="I440" i="11" s="1"/>
  <c r="E440" i="11"/>
  <c r="D440" i="11"/>
  <c r="J440" i="11" s="1"/>
  <c r="B440" i="11"/>
  <c r="C440" i="11" s="1"/>
  <c r="A440" i="11"/>
  <c r="H439" i="11"/>
  <c r="G439" i="11"/>
  <c r="F439" i="11"/>
  <c r="I439" i="11" s="1"/>
  <c r="E439" i="11"/>
  <c r="D439" i="11"/>
  <c r="J439" i="11" s="1"/>
  <c r="B439" i="11"/>
  <c r="C439" i="11" s="1"/>
  <c r="A439" i="11"/>
  <c r="H438" i="11"/>
  <c r="G438" i="11"/>
  <c r="F438" i="11"/>
  <c r="I438" i="11" s="1"/>
  <c r="E438" i="11"/>
  <c r="D438" i="11"/>
  <c r="J438" i="11" s="1"/>
  <c r="B438" i="11"/>
  <c r="C438" i="11" s="1"/>
  <c r="A438" i="11"/>
  <c r="H437" i="11"/>
  <c r="G437" i="11"/>
  <c r="F437" i="11"/>
  <c r="I437" i="11" s="1"/>
  <c r="E437" i="11"/>
  <c r="D437" i="11"/>
  <c r="J437" i="11" s="1"/>
  <c r="B437" i="11"/>
  <c r="C437" i="11" s="1"/>
  <c r="A437" i="11"/>
  <c r="H436" i="11"/>
  <c r="G436" i="11"/>
  <c r="F436" i="11"/>
  <c r="I436" i="11" s="1"/>
  <c r="E436" i="11"/>
  <c r="D436" i="11"/>
  <c r="J436" i="11" s="1"/>
  <c r="B436" i="11"/>
  <c r="C436" i="11" s="1"/>
  <c r="A436" i="11"/>
  <c r="H435" i="11"/>
  <c r="G435" i="11"/>
  <c r="F435" i="11"/>
  <c r="I435" i="11" s="1"/>
  <c r="E435" i="11"/>
  <c r="D435" i="11"/>
  <c r="J435" i="11" s="1"/>
  <c r="B435" i="11"/>
  <c r="C435" i="11" s="1"/>
  <c r="A435" i="11"/>
  <c r="H434" i="11"/>
  <c r="G434" i="11"/>
  <c r="F434" i="11"/>
  <c r="I434" i="11" s="1"/>
  <c r="E434" i="11"/>
  <c r="D434" i="11"/>
  <c r="J434" i="11" s="1"/>
  <c r="B434" i="11"/>
  <c r="C434" i="11" s="1"/>
  <c r="A434" i="11"/>
  <c r="H433" i="11"/>
  <c r="G433" i="11"/>
  <c r="F433" i="11"/>
  <c r="I433" i="11" s="1"/>
  <c r="E433" i="11"/>
  <c r="D433" i="11"/>
  <c r="J433" i="11" s="1"/>
  <c r="B433" i="11"/>
  <c r="C433" i="11" s="1"/>
  <c r="A433" i="11"/>
  <c r="H432" i="11"/>
  <c r="G432" i="11"/>
  <c r="F432" i="11"/>
  <c r="I432" i="11" s="1"/>
  <c r="E432" i="11"/>
  <c r="D432" i="11"/>
  <c r="J432" i="11" s="1"/>
  <c r="B432" i="11"/>
  <c r="C432" i="11" s="1"/>
  <c r="A432" i="11"/>
  <c r="H431" i="11"/>
  <c r="G431" i="11"/>
  <c r="F431" i="11"/>
  <c r="I431" i="11" s="1"/>
  <c r="E431" i="11"/>
  <c r="D431" i="11"/>
  <c r="J431" i="11" s="1"/>
  <c r="B431" i="11"/>
  <c r="C431" i="11" s="1"/>
  <c r="A431" i="11"/>
  <c r="H430" i="11"/>
  <c r="G430" i="11"/>
  <c r="F430" i="11"/>
  <c r="I430" i="11" s="1"/>
  <c r="E430" i="11"/>
  <c r="D430" i="11"/>
  <c r="J430" i="11" s="1"/>
  <c r="B430" i="11"/>
  <c r="C430" i="11" s="1"/>
  <c r="A430" i="11"/>
  <c r="H429" i="11"/>
  <c r="G429" i="11"/>
  <c r="F429" i="11"/>
  <c r="I429" i="11" s="1"/>
  <c r="E429" i="11"/>
  <c r="D429" i="11"/>
  <c r="J429" i="11" s="1"/>
  <c r="B429" i="11"/>
  <c r="C429" i="11" s="1"/>
  <c r="A429" i="11"/>
  <c r="H428" i="11"/>
  <c r="G428" i="11"/>
  <c r="F428" i="11"/>
  <c r="I428" i="11" s="1"/>
  <c r="E428" i="11"/>
  <c r="D428" i="11"/>
  <c r="J428" i="11" s="1"/>
  <c r="B428" i="11"/>
  <c r="C428" i="11" s="1"/>
  <c r="A428" i="11"/>
  <c r="H427" i="11"/>
  <c r="G427" i="11"/>
  <c r="F427" i="11"/>
  <c r="I427" i="11" s="1"/>
  <c r="E427" i="11"/>
  <c r="D427" i="11"/>
  <c r="J427" i="11" s="1"/>
  <c r="B427" i="11"/>
  <c r="C427" i="11" s="1"/>
  <c r="A427" i="11"/>
  <c r="H426" i="11"/>
  <c r="G426" i="11"/>
  <c r="F426" i="11"/>
  <c r="I426" i="11" s="1"/>
  <c r="E426" i="11"/>
  <c r="D426" i="11"/>
  <c r="J426" i="11" s="1"/>
  <c r="B426" i="11"/>
  <c r="C426" i="11" s="1"/>
  <c r="A426" i="11"/>
  <c r="H425" i="11"/>
  <c r="G425" i="11"/>
  <c r="F425" i="11"/>
  <c r="I425" i="11" s="1"/>
  <c r="E425" i="11"/>
  <c r="D425" i="11"/>
  <c r="J425" i="11" s="1"/>
  <c r="B425" i="11"/>
  <c r="C425" i="11" s="1"/>
  <c r="A425" i="11"/>
  <c r="H424" i="11"/>
  <c r="G424" i="11"/>
  <c r="F424" i="11"/>
  <c r="I424" i="11" s="1"/>
  <c r="E424" i="11"/>
  <c r="D424" i="11"/>
  <c r="J424" i="11" s="1"/>
  <c r="B424" i="11"/>
  <c r="C424" i="11" s="1"/>
  <c r="A424" i="11"/>
  <c r="H423" i="11"/>
  <c r="G423" i="11"/>
  <c r="F423" i="11"/>
  <c r="I423" i="11" s="1"/>
  <c r="E423" i="11"/>
  <c r="D423" i="11"/>
  <c r="J423" i="11" s="1"/>
  <c r="B423" i="11"/>
  <c r="C423" i="11" s="1"/>
  <c r="A423" i="11"/>
  <c r="H422" i="11"/>
  <c r="G422" i="11"/>
  <c r="F422" i="11"/>
  <c r="I422" i="11" s="1"/>
  <c r="E422" i="11"/>
  <c r="D422" i="11"/>
  <c r="J422" i="11" s="1"/>
  <c r="B422" i="11"/>
  <c r="C422" i="11" s="1"/>
  <c r="A422" i="11"/>
  <c r="H421" i="11"/>
  <c r="G421" i="11"/>
  <c r="F421" i="11"/>
  <c r="I421" i="11" s="1"/>
  <c r="E421" i="11"/>
  <c r="D421" i="11"/>
  <c r="J421" i="11" s="1"/>
  <c r="B421" i="11"/>
  <c r="C421" i="11" s="1"/>
  <c r="A421" i="11"/>
  <c r="H420" i="11"/>
  <c r="G420" i="11"/>
  <c r="F420" i="11"/>
  <c r="I420" i="11" s="1"/>
  <c r="E420" i="11"/>
  <c r="D420" i="11"/>
  <c r="J420" i="11" s="1"/>
  <c r="B420" i="11"/>
  <c r="C420" i="11" s="1"/>
  <c r="A420" i="11"/>
  <c r="H419" i="11"/>
  <c r="G419" i="11"/>
  <c r="F419" i="11"/>
  <c r="I419" i="11" s="1"/>
  <c r="E419" i="11"/>
  <c r="D419" i="11"/>
  <c r="J419" i="11" s="1"/>
  <c r="B419" i="11"/>
  <c r="C419" i="11" s="1"/>
  <c r="A419" i="11"/>
  <c r="H418" i="11"/>
  <c r="G418" i="11"/>
  <c r="F418" i="11"/>
  <c r="I418" i="11" s="1"/>
  <c r="E418" i="11"/>
  <c r="D418" i="11"/>
  <c r="J418" i="11" s="1"/>
  <c r="B418" i="11"/>
  <c r="C418" i="11" s="1"/>
  <c r="A418" i="11"/>
  <c r="H417" i="11"/>
  <c r="G417" i="11"/>
  <c r="F417" i="11"/>
  <c r="I417" i="11" s="1"/>
  <c r="E417" i="11"/>
  <c r="D417" i="11"/>
  <c r="J417" i="11" s="1"/>
  <c r="B417" i="11"/>
  <c r="C417" i="11" s="1"/>
  <c r="A417" i="11"/>
  <c r="H416" i="11"/>
  <c r="G416" i="11"/>
  <c r="F416" i="11"/>
  <c r="I416" i="11" s="1"/>
  <c r="E416" i="11"/>
  <c r="D416" i="11"/>
  <c r="J416" i="11" s="1"/>
  <c r="B416" i="11"/>
  <c r="C416" i="11" s="1"/>
  <c r="A416" i="11"/>
  <c r="H415" i="11"/>
  <c r="G415" i="11"/>
  <c r="F415" i="11"/>
  <c r="I415" i="11" s="1"/>
  <c r="E415" i="11"/>
  <c r="D415" i="11"/>
  <c r="J415" i="11" s="1"/>
  <c r="B415" i="11"/>
  <c r="C415" i="11" s="1"/>
  <c r="A415" i="11"/>
  <c r="H414" i="11"/>
  <c r="G414" i="11"/>
  <c r="F414" i="11"/>
  <c r="I414" i="11" s="1"/>
  <c r="E414" i="11"/>
  <c r="D414" i="11"/>
  <c r="J414" i="11" s="1"/>
  <c r="B414" i="11"/>
  <c r="C414" i="11" s="1"/>
  <c r="A414" i="11"/>
  <c r="H413" i="11"/>
  <c r="G413" i="11"/>
  <c r="F413" i="11"/>
  <c r="I413" i="11" s="1"/>
  <c r="E413" i="11"/>
  <c r="D413" i="11"/>
  <c r="J413" i="11" s="1"/>
  <c r="B413" i="11"/>
  <c r="C413" i="11" s="1"/>
  <c r="A413" i="11"/>
  <c r="H412" i="11"/>
  <c r="G412" i="11"/>
  <c r="F412" i="11"/>
  <c r="I412" i="11" s="1"/>
  <c r="E412" i="11"/>
  <c r="D412" i="11"/>
  <c r="J412" i="11" s="1"/>
  <c r="B412" i="11"/>
  <c r="C412" i="11" s="1"/>
  <c r="A412" i="11"/>
  <c r="H411" i="11"/>
  <c r="G411" i="11"/>
  <c r="F411" i="11"/>
  <c r="I411" i="11" s="1"/>
  <c r="E411" i="11"/>
  <c r="D411" i="11"/>
  <c r="J411" i="11" s="1"/>
  <c r="B411" i="11"/>
  <c r="C411" i="11" s="1"/>
  <c r="A411" i="11"/>
  <c r="H410" i="11"/>
  <c r="G410" i="11"/>
  <c r="F410" i="11"/>
  <c r="I410" i="11" s="1"/>
  <c r="E410" i="11"/>
  <c r="D410" i="11"/>
  <c r="J410" i="11" s="1"/>
  <c r="B410" i="11"/>
  <c r="C410" i="11" s="1"/>
  <c r="A410" i="11"/>
  <c r="H409" i="11"/>
  <c r="G409" i="11"/>
  <c r="F409" i="11"/>
  <c r="I409" i="11" s="1"/>
  <c r="E409" i="11"/>
  <c r="D409" i="11"/>
  <c r="J409" i="11" s="1"/>
  <c r="B409" i="11"/>
  <c r="C409" i="11" s="1"/>
  <c r="A409" i="11"/>
  <c r="H408" i="11"/>
  <c r="G408" i="11"/>
  <c r="F408" i="11"/>
  <c r="I408" i="11" s="1"/>
  <c r="E408" i="11"/>
  <c r="D408" i="11"/>
  <c r="J408" i="11" s="1"/>
  <c r="B408" i="11"/>
  <c r="C408" i="11" s="1"/>
  <c r="A408" i="11"/>
  <c r="H407" i="11"/>
  <c r="G407" i="11"/>
  <c r="F407" i="11"/>
  <c r="I407" i="11" s="1"/>
  <c r="E407" i="11"/>
  <c r="D407" i="11"/>
  <c r="J407" i="11" s="1"/>
  <c r="B407" i="11"/>
  <c r="C407" i="11" s="1"/>
  <c r="A407" i="11"/>
  <c r="H406" i="11"/>
  <c r="G406" i="11"/>
  <c r="F406" i="11"/>
  <c r="I406" i="11" s="1"/>
  <c r="E406" i="11"/>
  <c r="D406" i="11"/>
  <c r="J406" i="11" s="1"/>
  <c r="B406" i="11"/>
  <c r="C406" i="11" s="1"/>
  <c r="A406" i="11"/>
  <c r="H405" i="11"/>
  <c r="G405" i="11"/>
  <c r="F405" i="11"/>
  <c r="I405" i="11" s="1"/>
  <c r="E405" i="11"/>
  <c r="D405" i="11"/>
  <c r="J405" i="11" s="1"/>
  <c r="B405" i="11"/>
  <c r="C405" i="11" s="1"/>
  <c r="A405" i="11"/>
  <c r="H404" i="11"/>
  <c r="G404" i="11"/>
  <c r="F404" i="11"/>
  <c r="I404" i="11" s="1"/>
  <c r="E404" i="11"/>
  <c r="D404" i="11"/>
  <c r="J404" i="11" s="1"/>
  <c r="B404" i="11"/>
  <c r="C404" i="11" s="1"/>
  <c r="A404" i="11"/>
  <c r="H403" i="11"/>
  <c r="G403" i="11"/>
  <c r="F403" i="11"/>
  <c r="I403" i="11" s="1"/>
  <c r="E403" i="11"/>
  <c r="D403" i="11"/>
  <c r="J403" i="11" s="1"/>
  <c r="B403" i="11"/>
  <c r="C403" i="11" s="1"/>
  <c r="A403" i="11"/>
  <c r="H402" i="11"/>
  <c r="G402" i="11"/>
  <c r="F402" i="11"/>
  <c r="I402" i="11" s="1"/>
  <c r="E402" i="11"/>
  <c r="D402" i="11"/>
  <c r="J402" i="11" s="1"/>
  <c r="B402" i="11"/>
  <c r="C402" i="11" s="1"/>
  <c r="A402" i="11"/>
  <c r="H401" i="11"/>
  <c r="G401" i="11"/>
  <c r="F401" i="11"/>
  <c r="I401" i="11" s="1"/>
  <c r="E401" i="11"/>
  <c r="D401" i="11"/>
  <c r="J401" i="11" s="1"/>
  <c r="B401" i="11"/>
  <c r="C401" i="11" s="1"/>
  <c r="A401" i="11"/>
  <c r="H400" i="11"/>
  <c r="G400" i="11"/>
  <c r="F400" i="11"/>
  <c r="I400" i="11" s="1"/>
  <c r="E400" i="11"/>
  <c r="D400" i="11"/>
  <c r="J400" i="11" s="1"/>
  <c r="B400" i="11"/>
  <c r="C400" i="11" s="1"/>
  <c r="A400" i="11"/>
  <c r="H399" i="11"/>
  <c r="G399" i="11"/>
  <c r="F399" i="11"/>
  <c r="I399" i="11" s="1"/>
  <c r="E399" i="11"/>
  <c r="D399" i="11"/>
  <c r="J399" i="11" s="1"/>
  <c r="B399" i="11"/>
  <c r="C399" i="11" s="1"/>
  <c r="A399" i="11"/>
  <c r="H398" i="11"/>
  <c r="G398" i="11"/>
  <c r="F398" i="11"/>
  <c r="I398" i="11" s="1"/>
  <c r="E398" i="11"/>
  <c r="D398" i="11"/>
  <c r="J398" i="11" s="1"/>
  <c r="B398" i="11"/>
  <c r="C398" i="11" s="1"/>
  <c r="A398" i="11"/>
  <c r="H397" i="11"/>
  <c r="G397" i="11"/>
  <c r="F397" i="11"/>
  <c r="I397" i="11" s="1"/>
  <c r="E397" i="11"/>
  <c r="D397" i="11"/>
  <c r="J397" i="11" s="1"/>
  <c r="B397" i="11"/>
  <c r="C397" i="11" s="1"/>
  <c r="A397" i="11"/>
  <c r="H396" i="11"/>
  <c r="G396" i="11"/>
  <c r="F396" i="11"/>
  <c r="I396" i="11" s="1"/>
  <c r="E396" i="11"/>
  <c r="D396" i="11"/>
  <c r="J396" i="11" s="1"/>
  <c r="B396" i="11"/>
  <c r="C396" i="11" s="1"/>
  <c r="A396" i="11"/>
  <c r="H395" i="11"/>
  <c r="G395" i="11"/>
  <c r="F395" i="11"/>
  <c r="I395" i="11" s="1"/>
  <c r="E395" i="11"/>
  <c r="D395" i="11"/>
  <c r="J395" i="11" s="1"/>
  <c r="B395" i="11"/>
  <c r="C395" i="11" s="1"/>
  <c r="A395" i="11"/>
  <c r="H394" i="11"/>
  <c r="G394" i="11"/>
  <c r="F394" i="11"/>
  <c r="I394" i="11" s="1"/>
  <c r="E394" i="11"/>
  <c r="D394" i="11"/>
  <c r="J394" i="11" s="1"/>
  <c r="B394" i="11"/>
  <c r="C394" i="11" s="1"/>
  <c r="A394" i="11"/>
  <c r="H393" i="11"/>
  <c r="G393" i="11"/>
  <c r="F393" i="11"/>
  <c r="I393" i="11" s="1"/>
  <c r="E393" i="11"/>
  <c r="D393" i="11"/>
  <c r="J393" i="11" s="1"/>
  <c r="B393" i="11"/>
  <c r="C393" i="11" s="1"/>
  <c r="A393" i="11"/>
  <c r="H392" i="11"/>
  <c r="G392" i="11"/>
  <c r="F392" i="11"/>
  <c r="I392" i="11" s="1"/>
  <c r="E392" i="11"/>
  <c r="D392" i="11"/>
  <c r="J392" i="11" s="1"/>
  <c r="B392" i="11"/>
  <c r="C392" i="11" s="1"/>
  <c r="A392" i="11"/>
  <c r="H391" i="11"/>
  <c r="G391" i="11"/>
  <c r="F391" i="11"/>
  <c r="I391" i="11" s="1"/>
  <c r="E391" i="11"/>
  <c r="D391" i="11"/>
  <c r="J391" i="11" s="1"/>
  <c r="B391" i="11"/>
  <c r="C391" i="11" s="1"/>
  <c r="A391" i="11"/>
  <c r="H390" i="11"/>
  <c r="G390" i="11"/>
  <c r="F390" i="11"/>
  <c r="I390" i="11" s="1"/>
  <c r="E390" i="11"/>
  <c r="D390" i="11"/>
  <c r="J390" i="11" s="1"/>
  <c r="B390" i="11"/>
  <c r="C390" i="11" s="1"/>
  <c r="A390" i="11"/>
  <c r="H389" i="11"/>
  <c r="G389" i="11"/>
  <c r="F389" i="11"/>
  <c r="I389" i="11" s="1"/>
  <c r="E389" i="11"/>
  <c r="D389" i="11"/>
  <c r="J389" i="11" s="1"/>
  <c r="B389" i="11"/>
  <c r="C389" i="11" s="1"/>
  <c r="A389" i="11"/>
  <c r="H388" i="11"/>
  <c r="G388" i="11"/>
  <c r="F388" i="11"/>
  <c r="I388" i="11" s="1"/>
  <c r="E388" i="11"/>
  <c r="D388" i="11"/>
  <c r="J388" i="11" s="1"/>
  <c r="B388" i="11"/>
  <c r="C388" i="11" s="1"/>
  <c r="A388" i="11"/>
  <c r="H387" i="11"/>
  <c r="G387" i="11"/>
  <c r="F387" i="11"/>
  <c r="I387" i="11" s="1"/>
  <c r="E387" i="11"/>
  <c r="D387" i="11"/>
  <c r="J387" i="11" s="1"/>
  <c r="B387" i="11"/>
  <c r="C387" i="11" s="1"/>
  <c r="A387" i="11"/>
  <c r="H386" i="11"/>
  <c r="G386" i="11"/>
  <c r="F386" i="11"/>
  <c r="I386" i="11" s="1"/>
  <c r="E386" i="11"/>
  <c r="D386" i="11"/>
  <c r="J386" i="11" s="1"/>
  <c r="B386" i="11"/>
  <c r="C386" i="11" s="1"/>
  <c r="A386" i="11"/>
  <c r="H385" i="11"/>
  <c r="G385" i="11"/>
  <c r="F385" i="11"/>
  <c r="I385" i="11" s="1"/>
  <c r="E385" i="11"/>
  <c r="D385" i="11"/>
  <c r="J385" i="11" s="1"/>
  <c r="B385" i="11"/>
  <c r="C385" i="11" s="1"/>
  <c r="A385" i="11"/>
  <c r="H384" i="11"/>
  <c r="G384" i="11"/>
  <c r="F384" i="11"/>
  <c r="I384" i="11" s="1"/>
  <c r="E384" i="11"/>
  <c r="D384" i="11"/>
  <c r="J384" i="11" s="1"/>
  <c r="B384" i="11"/>
  <c r="C384" i="11" s="1"/>
  <c r="A384" i="11"/>
  <c r="H383" i="11"/>
  <c r="G383" i="11"/>
  <c r="F383" i="11"/>
  <c r="I383" i="11" s="1"/>
  <c r="E383" i="11"/>
  <c r="D383" i="11"/>
  <c r="J383" i="11" s="1"/>
  <c r="B383" i="11"/>
  <c r="C383" i="11" s="1"/>
  <c r="A383" i="11"/>
  <c r="H382" i="11"/>
  <c r="G382" i="11"/>
  <c r="F382" i="11"/>
  <c r="I382" i="11" s="1"/>
  <c r="E382" i="11"/>
  <c r="D382" i="11"/>
  <c r="J382" i="11" s="1"/>
  <c r="B382" i="11"/>
  <c r="C382" i="11" s="1"/>
  <c r="A382" i="11"/>
  <c r="H381" i="11"/>
  <c r="G381" i="11"/>
  <c r="F381" i="11"/>
  <c r="I381" i="11" s="1"/>
  <c r="E381" i="11"/>
  <c r="D381" i="11"/>
  <c r="J381" i="11" s="1"/>
  <c r="B381" i="11"/>
  <c r="C381" i="11" s="1"/>
  <c r="A381" i="11"/>
  <c r="H380" i="11"/>
  <c r="G380" i="11"/>
  <c r="F380" i="11"/>
  <c r="I380" i="11" s="1"/>
  <c r="E380" i="11"/>
  <c r="D380" i="11"/>
  <c r="J380" i="11" s="1"/>
  <c r="B380" i="11"/>
  <c r="C380" i="11" s="1"/>
  <c r="A380" i="11"/>
  <c r="H379" i="11"/>
  <c r="G379" i="11"/>
  <c r="F379" i="11"/>
  <c r="I379" i="11" s="1"/>
  <c r="E379" i="11"/>
  <c r="D379" i="11"/>
  <c r="J379" i="11" s="1"/>
  <c r="B379" i="11"/>
  <c r="C379" i="11" s="1"/>
  <c r="A379" i="11"/>
  <c r="H378" i="11"/>
  <c r="G378" i="11"/>
  <c r="F378" i="11"/>
  <c r="I378" i="11" s="1"/>
  <c r="E378" i="11"/>
  <c r="D378" i="11"/>
  <c r="J378" i="11" s="1"/>
  <c r="B378" i="11"/>
  <c r="C378" i="11" s="1"/>
  <c r="A378" i="11"/>
  <c r="H377" i="11"/>
  <c r="G377" i="11"/>
  <c r="F377" i="11"/>
  <c r="I377" i="11" s="1"/>
  <c r="E377" i="11"/>
  <c r="D377" i="11"/>
  <c r="J377" i="11" s="1"/>
  <c r="B377" i="11"/>
  <c r="C377" i="11" s="1"/>
  <c r="A377" i="11"/>
  <c r="H376" i="11"/>
  <c r="G376" i="11"/>
  <c r="F376" i="11"/>
  <c r="I376" i="11" s="1"/>
  <c r="E376" i="11"/>
  <c r="D376" i="11"/>
  <c r="J376" i="11" s="1"/>
  <c r="B376" i="11"/>
  <c r="C376" i="11" s="1"/>
  <c r="A376" i="11"/>
  <c r="H375" i="11"/>
  <c r="G375" i="11"/>
  <c r="F375" i="11"/>
  <c r="I375" i="11" s="1"/>
  <c r="E375" i="11"/>
  <c r="D375" i="11"/>
  <c r="J375" i="11" s="1"/>
  <c r="B375" i="11"/>
  <c r="C375" i="11" s="1"/>
  <c r="A375" i="11"/>
  <c r="H374" i="11"/>
  <c r="G374" i="11"/>
  <c r="F374" i="11"/>
  <c r="I374" i="11" s="1"/>
  <c r="E374" i="11"/>
  <c r="D374" i="11"/>
  <c r="J374" i="11" s="1"/>
  <c r="B374" i="11"/>
  <c r="C374" i="11" s="1"/>
  <c r="A374" i="11"/>
  <c r="H373" i="11"/>
  <c r="G373" i="11"/>
  <c r="F373" i="11"/>
  <c r="I373" i="11" s="1"/>
  <c r="E373" i="11"/>
  <c r="D373" i="11"/>
  <c r="J373" i="11" s="1"/>
  <c r="B373" i="11"/>
  <c r="C373" i="11" s="1"/>
  <c r="A373" i="11"/>
  <c r="H372" i="11"/>
  <c r="G372" i="11"/>
  <c r="F372" i="11"/>
  <c r="I372" i="11" s="1"/>
  <c r="E372" i="11"/>
  <c r="D372" i="11"/>
  <c r="J372" i="11" s="1"/>
  <c r="B372" i="11"/>
  <c r="C372" i="11" s="1"/>
  <c r="A372" i="11"/>
  <c r="H371" i="11"/>
  <c r="G371" i="11"/>
  <c r="F371" i="11"/>
  <c r="I371" i="11" s="1"/>
  <c r="E371" i="11"/>
  <c r="D371" i="11"/>
  <c r="J371" i="11" s="1"/>
  <c r="B371" i="11"/>
  <c r="C371" i="11" s="1"/>
  <c r="A371" i="11"/>
  <c r="H370" i="11"/>
  <c r="G370" i="11"/>
  <c r="F370" i="11"/>
  <c r="I370" i="11" s="1"/>
  <c r="E370" i="11"/>
  <c r="D370" i="11"/>
  <c r="J370" i="11" s="1"/>
  <c r="B370" i="11"/>
  <c r="C370" i="11" s="1"/>
  <c r="A370" i="11"/>
  <c r="H369" i="11"/>
  <c r="G369" i="11"/>
  <c r="F369" i="11"/>
  <c r="I369" i="11" s="1"/>
  <c r="E369" i="11"/>
  <c r="D369" i="11"/>
  <c r="J369" i="11" s="1"/>
  <c r="B369" i="11"/>
  <c r="C369" i="11" s="1"/>
  <c r="A369" i="11"/>
  <c r="H368" i="11"/>
  <c r="G368" i="11"/>
  <c r="F368" i="11"/>
  <c r="I368" i="11" s="1"/>
  <c r="E368" i="11"/>
  <c r="D368" i="11"/>
  <c r="J368" i="11" s="1"/>
  <c r="B368" i="11"/>
  <c r="C368" i="11" s="1"/>
  <c r="A368" i="11"/>
  <c r="H367" i="11"/>
  <c r="G367" i="11"/>
  <c r="F367" i="11"/>
  <c r="I367" i="11" s="1"/>
  <c r="E367" i="11"/>
  <c r="D367" i="11"/>
  <c r="J367" i="11" s="1"/>
  <c r="B367" i="11"/>
  <c r="C367" i="11" s="1"/>
  <c r="A367" i="11"/>
  <c r="H366" i="11"/>
  <c r="G366" i="11"/>
  <c r="F366" i="11"/>
  <c r="I366" i="11" s="1"/>
  <c r="E366" i="11"/>
  <c r="D366" i="11"/>
  <c r="J366" i="11" s="1"/>
  <c r="B366" i="11"/>
  <c r="C366" i="11" s="1"/>
  <c r="A366" i="11"/>
  <c r="H365" i="11"/>
  <c r="G365" i="11"/>
  <c r="F365" i="11"/>
  <c r="I365" i="11" s="1"/>
  <c r="E365" i="11"/>
  <c r="D365" i="11"/>
  <c r="J365" i="11" s="1"/>
  <c r="B365" i="11"/>
  <c r="C365" i="11" s="1"/>
  <c r="A365" i="11"/>
  <c r="H364" i="11"/>
  <c r="G364" i="11"/>
  <c r="F364" i="11"/>
  <c r="I364" i="11" s="1"/>
  <c r="E364" i="11"/>
  <c r="D364" i="11"/>
  <c r="J364" i="11" s="1"/>
  <c r="B364" i="11"/>
  <c r="C364" i="11" s="1"/>
  <c r="A364" i="11"/>
  <c r="H363" i="11"/>
  <c r="G363" i="11"/>
  <c r="F363" i="11"/>
  <c r="I363" i="11" s="1"/>
  <c r="E363" i="11"/>
  <c r="D363" i="11"/>
  <c r="J363" i="11" s="1"/>
  <c r="B363" i="11"/>
  <c r="C363" i="11" s="1"/>
  <c r="A363" i="11"/>
  <c r="H362" i="11"/>
  <c r="G362" i="11"/>
  <c r="F362" i="11"/>
  <c r="I362" i="11" s="1"/>
  <c r="E362" i="11"/>
  <c r="D362" i="11"/>
  <c r="J362" i="11" s="1"/>
  <c r="B362" i="11"/>
  <c r="C362" i="11" s="1"/>
  <c r="A362" i="11"/>
  <c r="H361" i="11"/>
  <c r="G361" i="11"/>
  <c r="F361" i="11"/>
  <c r="I361" i="11" s="1"/>
  <c r="E361" i="11"/>
  <c r="D361" i="11"/>
  <c r="J361" i="11" s="1"/>
  <c r="B361" i="11"/>
  <c r="C361" i="11" s="1"/>
  <c r="A361" i="11"/>
  <c r="H360" i="11"/>
  <c r="G360" i="11"/>
  <c r="F360" i="11"/>
  <c r="I360" i="11" s="1"/>
  <c r="E360" i="11"/>
  <c r="D360" i="11"/>
  <c r="J360" i="11" s="1"/>
  <c r="B360" i="11"/>
  <c r="C360" i="11" s="1"/>
  <c r="A360" i="11"/>
  <c r="H359" i="11"/>
  <c r="G359" i="11"/>
  <c r="F359" i="11"/>
  <c r="I359" i="11" s="1"/>
  <c r="E359" i="11"/>
  <c r="D359" i="11"/>
  <c r="J359" i="11" s="1"/>
  <c r="B359" i="11"/>
  <c r="C359" i="11" s="1"/>
  <c r="A359" i="11"/>
  <c r="H358" i="11"/>
  <c r="G358" i="11"/>
  <c r="F358" i="11"/>
  <c r="I358" i="11" s="1"/>
  <c r="E358" i="11"/>
  <c r="D358" i="11"/>
  <c r="J358" i="11" s="1"/>
  <c r="B358" i="11"/>
  <c r="C358" i="11" s="1"/>
  <c r="A358" i="11"/>
  <c r="H357" i="11"/>
  <c r="G357" i="11"/>
  <c r="F357" i="11"/>
  <c r="I357" i="11" s="1"/>
  <c r="E357" i="11"/>
  <c r="D357" i="11"/>
  <c r="J357" i="11" s="1"/>
  <c r="B357" i="11"/>
  <c r="C357" i="11" s="1"/>
  <c r="A357" i="11"/>
  <c r="H356" i="11"/>
  <c r="G356" i="11"/>
  <c r="F356" i="11"/>
  <c r="I356" i="11" s="1"/>
  <c r="E356" i="11"/>
  <c r="D356" i="11"/>
  <c r="J356" i="11" s="1"/>
  <c r="B356" i="11"/>
  <c r="C356" i="11" s="1"/>
  <c r="A356" i="11"/>
  <c r="H355" i="11"/>
  <c r="G355" i="11"/>
  <c r="F355" i="11"/>
  <c r="I355" i="11" s="1"/>
  <c r="E355" i="11"/>
  <c r="D355" i="11"/>
  <c r="J355" i="11" s="1"/>
  <c r="B355" i="11"/>
  <c r="C355" i="11" s="1"/>
  <c r="A355" i="11"/>
  <c r="H354" i="11"/>
  <c r="G354" i="11"/>
  <c r="F354" i="11"/>
  <c r="I354" i="11" s="1"/>
  <c r="E354" i="11"/>
  <c r="D354" i="11"/>
  <c r="J354" i="11" s="1"/>
  <c r="B354" i="11"/>
  <c r="C354" i="11" s="1"/>
  <c r="A354" i="11"/>
  <c r="H353" i="11"/>
  <c r="G353" i="11"/>
  <c r="F353" i="11"/>
  <c r="I353" i="11" s="1"/>
  <c r="E353" i="11"/>
  <c r="D353" i="11"/>
  <c r="J353" i="11" s="1"/>
  <c r="B353" i="11"/>
  <c r="C353" i="11" s="1"/>
  <c r="A353" i="11"/>
  <c r="H352" i="11"/>
  <c r="G352" i="11"/>
  <c r="F352" i="11"/>
  <c r="I352" i="11" s="1"/>
  <c r="E352" i="11"/>
  <c r="D352" i="11"/>
  <c r="J352" i="11" s="1"/>
  <c r="B352" i="11"/>
  <c r="C352" i="11" s="1"/>
  <c r="A352" i="11"/>
  <c r="H351" i="11"/>
  <c r="G351" i="11"/>
  <c r="F351" i="11"/>
  <c r="I351" i="11" s="1"/>
  <c r="E351" i="11"/>
  <c r="D351" i="11"/>
  <c r="J351" i="11" s="1"/>
  <c r="B351" i="11"/>
  <c r="C351" i="11" s="1"/>
  <c r="A351" i="11"/>
  <c r="H350" i="11"/>
  <c r="G350" i="11"/>
  <c r="F350" i="11"/>
  <c r="I350" i="11" s="1"/>
  <c r="E350" i="11"/>
  <c r="D350" i="11"/>
  <c r="J350" i="11" s="1"/>
  <c r="B350" i="11"/>
  <c r="C350" i="11" s="1"/>
  <c r="A350" i="11"/>
  <c r="H349" i="11"/>
  <c r="G349" i="11"/>
  <c r="F349" i="11"/>
  <c r="I349" i="11" s="1"/>
  <c r="E349" i="11"/>
  <c r="D349" i="11"/>
  <c r="J349" i="11" s="1"/>
  <c r="B349" i="11"/>
  <c r="C349" i="11" s="1"/>
  <c r="A349" i="11"/>
  <c r="H348" i="11"/>
  <c r="G348" i="11"/>
  <c r="F348" i="11"/>
  <c r="I348" i="11" s="1"/>
  <c r="E348" i="11"/>
  <c r="D348" i="11"/>
  <c r="J348" i="11" s="1"/>
  <c r="B348" i="11"/>
  <c r="C348" i="11" s="1"/>
  <c r="A348" i="11"/>
  <c r="H347" i="11"/>
  <c r="G347" i="11"/>
  <c r="F347" i="11"/>
  <c r="I347" i="11" s="1"/>
  <c r="E347" i="11"/>
  <c r="D347" i="11"/>
  <c r="J347" i="11" s="1"/>
  <c r="B347" i="11"/>
  <c r="C347" i="11" s="1"/>
  <c r="A347" i="11"/>
  <c r="H346" i="11"/>
  <c r="G346" i="11"/>
  <c r="F346" i="11"/>
  <c r="I346" i="11" s="1"/>
  <c r="E346" i="11"/>
  <c r="D346" i="11"/>
  <c r="J346" i="11" s="1"/>
  <c r="B346" i="11"/>
  <c r="C346" i="11" s="1"/>
  <c r="A346" i="11"/>
  <c r="H345" i="11"/>
  <c r="G345" i="11"/>
  <c r="F345" i="11"/>
  <c r="I345" i="11" s="1"/>
  <c r="E345" i="11"/>
  <c r="D345" i="11"/>
  <c r="J345" i="11" s="1"/>
  <c r="B345" i="11"/>
  <c r="C345" i="11" s="1"/>
  <c r="A345" i="11"/>
  <c r="H344" i="11"/>
  <c r="G344" i="11"/>
  <c r="F344" i="11"/>
  <c r="I344" i="11" s="1"/>
  <c r="E344" i="11"/>
  <c r="D344" i="11"/>
  <c r="J344" i="11" s="1"/>
  <c r="B344" i="11"/>
  <c r="C344" i="11" s="1"/>
  <c r="A344" i="11"/>
  <c r="H343" i="11"/>
  <c r="G343" i="11"/>
  <c r="F343" i="11"/>
  <c r="I343" i="11" s="1"/>
  <c r="E343" i="11"/>
  <c r="D343" i="11"/>
  <c r="J343" i="11" s="1"/>
  <c r="B343" i="11"/>
  <c r="C343" i="11" s="1"/>
  <c r="A343" i="11"/>
  <c r="H342" i="11"/>
  <c r="G342" i="11"/>
  <c r="F342" i="11"/>
  <c r="I342" i="11" s="1"/>
  <c r="E342" i="11"/>
  <c r="D342" i="11"/>
  <c r="J342" i="11" s="1"/>
  <c r="B342" i="11"/>
  <c r="C342" i="11" s="1"/>
  <c r="A342" i="11"/>
  <c r="H341" i="11"/>
  <c r="G341" i="11"/>
  <c r="F341" i="11"/>
  <c r="I341" i="11" s="1"/>
  <c r="E341" i="11"/>
  <c r="D341" i="11"/>
  <c r="J341" i="11" s="1"/>
  <c r="B341" i="11"/>
  <c r="C341" i="11" s="1"/>
  <c r="A341" i="11"/>
  <c r="H340" i="11"/>
  <c r="G340" i="11"/>
  <c r="F340" i="11"/>
  <c r="I340" i="11" s="1"/>
  <c r="E340" i="11"/>
  <c r="D340" i="11"/>
  <c r="J340" i="11" s="1"/>
  <c r="B340" i="11"/>
  <c r="C340" i="11" s="1"/>
  <c r="A340" i="11"/>
  <c r="H339" i="11"/>
  <c r="G339" i="11"/>
  <c r="F339" i="11"/>
  <c r="I339" i="11" s="1"/>
  <c r="E339" i="11"/>
  <c r="D339" i="11"/>
  <c r="J339" i="11" s="1"/>
  <c r="B339" i="11"/>
  <c r="C339" i="11" s="1"/>
  <c r="A339" i="11"/>
  <c r="H338" i="11"/>
  <c r="G338" i="11"/>
  <c r="F338" i="11"/>
  <c r="I338" i="11" s="1"/>
  <c r="E338" i="11"/>
  <c r="D338" i="11"/>
  <c r="J338" i="11" s="1"/>
  <c r="O338" i="11" s="1"/>
  <c r="B338" i="11"/>
  <c r="C338" i="11" s="1"/>
  <c r="A338" i="11"/>
  <c r="H337" i="11"/>
  <c r="G337" i="11"/>
  <c r="F337" i="11"/>
  <c r="I337" i="11" s="1"/>
  <c r="E337" i="11"/>
  <c r="D337" i="11"/>
  <c r="J337" i="11" s="1"/>
  <c r="B337" i="11"/>
  <c r="C337" i="11" s="1"/>
  <c r="A337" i="11"/>
  <c r="H336" i="11"/>
  <c r="G336" i="11"/>
  <c r="F336" i="11"/>
  <c r="I336" i="11" s="1"/>
  <c r="E336" i="11"/>
  <c r="D336" i="11"/>
  <c r="J336" i="11" s="1"/>
  <c r="B336" i="11"/>
  <c r="C336" i="11" s="1"/>
  <c r="A336" i="11"/>
  <c r="H335" i="11"/>
  <c r="G335" i="11"/>
  <c r="F335" i="11"/>
  <c r="I335" i="11" s="1"/>
  <c r="E335" i="11"/>
  <c r="D335" i="11"/>
  <c r="J335" i="11" s="1"/>
  <c r="B335" i="11"/>
  <c r="C335" i="11" s="1"/>
  <c r="A335" i="11"/>
  <c r="H334" i="11"/>
  <c r="G334" i="11"/>
  <c r="F334" i="11"/>
  <c r="I334" i="11" s="1"/>
  <c r="E334" i="11"/>
  <c r="D334" i="11"/>
  <c r="J334" i="11" s="1"/>
  <c r="B334" i="11"/>
  <c r="C334" i="11" s="1"/>
  <c r="A334" i="11"/>
  <c r="H333" i="11"/>
  <c r="G333" i="11"/>
  <c r="F333" i="11"/>
  <c r="I333" i="11" s="1"/>
  <c r="E333" i="11"/>
  <c r="D333" i="11"/>
  <c r="J333" i="11" s="1"/>
  <c r="B333" i="11"/>
  <c r="C333" i="11" s="1"/>
  <c r="A333" i="11"/>
  <c r="H332" i="11"/>
  <c r="G332" i="11"/>
  <c r="F332" i="11"/>
  <c r="I332" i="11" s="1"/>
  <c r="E332" i="11"/>
  <c r="D332" i="11"/>
  <c r="J332" i="11" s="1"/>
  <c r="B332" i="11"/>
  <c r="C332" i="11" s="1"/>
  <c r="A332" i="11"/>
  <c r="H331" i="11"/>
  <c r="G331" i="11"/>
  <c r="F331" i="11"/>
  <c r="I331" i="11" s="1"/>
  <c r="E331" i="11"/>
  <c r="D331" i="11"/>
  <c r="J331" i="11" s="1"/>
  <c r="B331" i="11"/>
  <c r="C331" i="11" s="1"/>
  <c r="A331" i="11"/>
  <c r="H330" i="11"/>
  <c r="G330" i="11"/>
  <c r="F330" i="11"/>
  <c r="I330" i="11" s="1"/>
  <c r="E330" i="11"/>
  <c r="D330" i="11"/>
  <c r="J330" i="11" s="1"/>
  <c r="B330" i="11"/>
  <c r="C330" i="11" s="1"/>
  <c r="A330" i="11"/>
  <c r="H329" i="11"/>
  <c r="G329" i="11"/>
  <c r="F329" i="11"/>
  <c r="I329" i="11" s="1"/>
  <c r="E329" i="11"/>
  <c r="D329" i="11"/>
  <c r="J329" i="11" s="1"/>
  <c r="B329" i="11"/>
  <c r="C329" i="11" s="1"/>
  <c r="A329" i="11"/>
  <c r="H328" i="11"/>
  <c r="G328" i="11"/>
  <c r="F328" i="11"/>
  <c r="I328" i="11" s="1"/>
  <c r="E328" i="11"/>
  <c r="D328" i="11"/>
  <c r="J328" i="11" s="1"/>
  <c r="B328" i="11"/>
  <c r="C328" i="11" s="1"/>
  <c r="A328" i="11"/>
  <c r="H327" i="11"/>
  <c r="G327" i="11"/>
  <c r="F327" i="11"/>
  <c r="I327" i="11" s="1"/>
  <c r="E327" i="11"/>
  <c r="D327" i="11"/>
  <c r="J327" i="11" s="1"/>
  <c r="B327" i="11"/>
  <c r="C327" i="11" s="1"/>
  <c r="A327" i="11"/>
  <c r="H326" i="11"/>
  <c r="G326" i="11"/>
  <c r="F326" i="11"/>
  <c r="I326" i="11" s="1"/>
  <c r="E326" i="11"/>
  <c r="D326" i="11"/>
  <c r="J326" i="11" s="1"/>
  <c r="B326" i="11"/>
  <c r="C326" i="11" s="1"/>
  <c r="A326" i="11"/>
  <c r="H325" i="11"/>
  <c r="G325" i="11"/>
  <c r="F325" i="11"/>
  <c r="I325" i="11" s="1"/>
  <c r="E325" i="11"/>
  <c r="D325" i="11"/>
  <c r="J325" i="11" s="1"/>
  <c r="B325" i="11"/>
  <c r="C325" i="11" s="1"/>
  <c r="A325" i="11"/>
  <c r="H324" i="11"/>
  <c r="G324" i="11"/>
  <c r="F324" i="11"/>
  <c r="I324" i="11" s="1"/>
  <c r="E324" i="11"/>
  <c r="D324" i="11"/>
  <c r="J324" i="11" s="1"/>
  <c r="B324" i="11"/>
  <c r="C324" i="11" s="1"/>
  <c r="A324" i="11"/>
  <c r="H323" i="11"/>
  <c r="G323" i="11"/>
  <c r="F323" i="11"/>
  <c r="I323" i="11" s="1"/>
  <c r="E323" i="11"/>
  <c r="D323" i="11"/>
  <c r="J323" i="11" s="1"/>
  <c r="B323" i="11"/>
  <c r="C323" i="11" s="1"/>
  <c r="A323" i="11"/>
  <c r="H322" i="11"/>
  <c r="G322" i="11"/>
  <c r="F322" i="11"/>
  <c r="I322" i="11" s="1"/>
  <c r="E322" i="11"/>
  <c r="D322" i="11"/>
  <c r="J322" i="11" s="1"/>
  <c r="B322" i="11"/>
  <c r="C322" i="11" s="1"/>
  <c r="A322" i="11"/>
  <c r="H321" i="11"/>
  <c r="G321" i="11"/>
  <c r="F321" i="11"/>
  <c r="I321" i="11" s="1"/>
  <c r="E321" i="11"/>
  <c r="D321" i="11"/>
  <c r="J321" i="11" s="1"/>
  <c r="B321" i="11"/>
  <c r="C321" i="11" s="1"/>
  <c r="A321" i="11"/>
  <c r="H320" i="11"/>
  <c r="G320" i="11"/>
  <c r="F320" i="11"/>
  <c r="I320" i="11" s="1"/>
  <c r="E320" i="11"/>
  <c r="D320" i="11"/>
  <c r="J320" i="11" s="1"/>
  <c r="B320" i="11"/>
  <c r="C320" i="11" s="1"/>
  <c r="A320" i="11"/>
  <c r="H319" i="11"/>
  <c r="G319" i="11"/>
  <c r="F319" i="11"/>
  <c r="I319" i="11" s="1"/>
  <c r="E319" i="11"/>
  <c r="D319" i="11"/>
  <c r="J319" i="11" s="1"/>
  <c r="B319" i="11"/>
  <c r="C319" i="11" s="1"/>
  <c r="A319" i="11"/>
  <c r="H318" i="11"/>
  <c r="G318" i="11"/>
  <c r="F318" i="11"/>
  <c r="I318" i="11" s="1"/>
  <c r="E318" i="11"/>
  <c r="D318" i="11"/>
  <c r="J318" i="11" s="1"/>
  <c r="B318" i="11"/>
  <c r="C318" i="11" s="1"/>
  <c r="A318" i="11"/>
  <c r="H317" i="11"/>
  <c r="G317" i="11"/>
  <c r="F317" i="11"/>
  <c r="I317" i="11" s="1"/>
  <c r="E317" i="11"/>
  <c r="D317" i="11"/>
  <c r="J317" i="11" s="1"/>
  <c r="B317" i="11"/>
  <c r="C317" i="11" s="1"/>
  <c r="A317" i="11"/>
  <c r="H316" i="11"/>
  <c r="G316" i="11"/>
  <c r="F316" i="11"/>
  <c r="I316" i="11" s="1"/>
  <c r="E316" i="11"/>
  <c r="D316" i="11"/>
  <c r="J316" i="11" s="1"/>
  <c r="B316" i="11"/>
  <c r="C316" i="11" s="1"/>
  <c r="A316" i="11"/>
  <c r="H315" i="11"/>
  <c r="G315" i="11"/>
  <c r="F315" i="11"/>
  <c r="I315" i="11" s="1"/>
  <c r="E315" i="11"/>
  <c r="D315" i="11"/>
  <c r="J315" i="11" s="1"/>
  <c r="B315" i="11"/>
  <c r="C315" i="11" s="1"/>
  <c r="A315" i="11"/>
  <c r="H314" i="11"/>
  <c r="G314" i="11"/>
  <c r="F314" i="11"/>
  <c r="I314" i="11" s="1"/>
  <c r="E314" i="11"/>
  <c r="D314" i="11"/>
  <c r="J314" i="11" s="1"/>
  <c r="B314" i="11"/>
  <c r="C314" i="11" s="1"/>
  <c r="A314" i="11"/>
  <c r="H313" i="11"/>
  <c r="G313" i="11"/>
  <c r="F313" i="11"/>
  <c r="I313" i="11" s="1"/>
  <c r="E313" i="11"/>
  <c r="D313" i="11"/>
  <c r="J313" i="11" s="1"/>
  <c r="B313" i="11"/>
  <c r="C313" i="11" s="1"/>
  <c r="A313" i="11"/>
  <c r="H312" i="11"/>
  <c r="G312" i="11"/>
  <c r="F312" i="11"/>
  <c r="I312" i="11" s="1"/>
  <c r="E312" i="11"/>
  <c r="D312" i="11"/>
  <c r="J312" i="11" s="1"/>
  <c r="B312" i="11"/>
  <c r="C312" i="11" s="1"/>
  <c r="A312" i="11"/>
  <c r="H311" i="11"/>
  <c r="G311" i="11"/>
  <c r="F311" i="11"/>
  <c r="I311" i="11" s="1"/>
  <c r="E311" i="11"/>
  <c r="D311" i="11"/>
  <c r="J311" i="11" s="1"/>
  <c r="B311" i="11"/>
  <c r="C311" i="11" s="1"/>
  <c r="A311" i="11"/>
  <c r="H310" i="11"/>
  <c r="G310" i="11"/>
  <c r="F310" i="11"/>
  <c r="I310" i="11" s="1"/>
  <c r="E310" i="11"/>
  <c r="D310" i="11"/>
  <c r="J310" i="11" s="1"/>
  <c r="B310" i="11"/>
  <c r="C310" i="11" s="1"/>
  <c r="A310" i="11"/>
  <c r="H309" i="11"/>
  <c r="G309" i="11"/>
  <c r="F309" i="11"/>
  <c r="I309" i="11" s="1"/>
  <c r="E309" i="11"/>
  <c r="D309" i="11"/>
  <c r="J309" i="11" s="1"/>
  <c r="B309" i="11"/>
  <c r="C309" i="11" s="1"/>
  <c r="A309" i="11"/>
  <c r="H308" i="11"/>
  <c r="G308" i="11"/>
  <c r="F308" i="11"/>
  <c r="I308" i="11" s="1"/>
  <c r="E308" i="11"/>
  <c r="D308" i="11"/>
  <c r="J308" i="11" s="1"/>
  <c r="B308" i="11"/>
  <c r="C308" i="11" s="1"/>
  <c r="A308" i="11"/>
  <c r="H307" i="11"/>
  <c r="G307" i="11"/>
  <c r="F307" i="11"/>
  <c r="I307" i="11" s="1"/>
  <c r="E307" i="11"/>
  <c r="D307" i="11"/>
  <c r="J307" i="11" s="1"/>
  <c r="B307" i="11"/>
  <c r="C307" i="11" s="1"/>
  <c r="A307" i="11"/>
  <c r="H306" i="11"/>
  <c r="G306" i="11"/>
  <c r="F306" i="11"/>
  <c r="I306" i="11" s="1"/>
  <c r="E306" i="11"/>
  <c r="D306" i="11"/>
  <c r="J306" i="11" s="1"/>
  <c r="B306" i="11"/>
  <c r="C306" i="11" s="1"/>
  <c r="A306" i="11"/>
  <c r="H305" i="11"/>
  <c r="G305" i="11"/>
  <c r="F305" i="11"/>
  <c r="I305" i="11" s="1"/>
  <c r="E305" i="11"/>
  <c r="D305" i="11"/>
  <c r="J305" i="11" s="1"/>
  <c r="B305" i="11"/>
  <c r="C305" i="11" s="1"/>
  <c r="A305" i="11"/>
  <c r="H304" i="11"/>
  <c r="G304" i="11"/>
  <c r="F304" i="11"/>
  <c r="I304" i="11" s="1"/>
  <c r="E304" i="11"/>
  <c r="D304" i="11"/>
  <c r="J304" i="11" s="1"/>
  <c r="B304" i="11"/>
  <c r="C304" i="11" s="1"/>
  <c r="A304" i="11"/>
  <c r="H303" i="11"/>
  <c r="G303" i="11"/>
  <c r="F303" i="11"/>
  <c r="I303" i="11" s="1"/>
  <c r="E303" i="11"/>
  <c r="D303" i="11"/>
  <c r="J303" i="11" s="1"/>
  <c r="B303" i="11"/>
  <c r="C303" i="11" s="1"/>
  <c r="A303" i="11"/>
  <c r="H302" i="11"/>
  <c r="G302" i="11"/>
  <c r="F302" i="11"/>
  <c r="I302" i="11" s="1"/>
  <c r="E302" i="11"/>
  <c r="D302" i="11"/>
  <c r="J302" i="11" s="1"/>
  <c r="B302" i="11"/>
  <c r="C302" i="11" s="1"/>
  <c r="A302" i="11"/>
  <c r="H301" i="11"/>
  <c r="G301" i="11"/>
  <c r="F301" i="11"/>
  <c r="I301" i="11" s="1"/>
  <c r="E301" i="11"/>
  <c r="D301" i="11"/>
  <c r="J301" i="11" s="1"/>
  <c r="B301" i="11"/>
  <c r="C301" i="11" s="1"/>
  <c r="A301" i="11"/>
  <c r="H300" i="11"/>
  <c r="G300" i="11"/>
  <c r="F300" i="11"/>
  <c r="I300" i="11" s="1"/>
  <c r="E300" i="11"/>
  <c r="D300" i="11"/>
  <c r="J300" i="11" s="1"/>
  <c r="B300" i="11"/>
  <c r="C300" i="11" s="1"/>
  <c r="A300" i="11"/>
  <c r="H299" i="11"/>
  <c r="G299" i="11"/>
  <c r="F299" i="11"/>
  <c r="I299" i="11" s="1"/>
  <c r="E299" i="11"/>
  <c r="D299" i="11"/>
  <c r="J299" i="11" s="1"/>
  <c r="B299" i="11"/>
  <c r="C299" i="11" s="1"/>
  <c r="A299" i="11"/>
  <c r="H298" i="11"/>
  <c r="G298" i="11"/>
  <c r="F298" i="11"/>
  <c r="I298" i="11" s="1"/>
  <c r="E298" i="11"/>
  <c r="D298" i="11"/>
  <c r="J298" i="11" s="1"/>
  <c r="B298" i="11"/>
  <c r="C298" i="11" s="1"/>
  <c r="A298" i="11"/>
  <c r="H297" i="11"/>
  <c r="G297" i="11"/>
  <c r="F297" i="11"/>
  <c r="I297" i="11" s="1"/>
  <c r="E297" i="11"/>
  <c r="D297" i="11"/>
  <c r="J297" i="11" s="1"/>
  <c r="B297" i="11"/>
  <c r="C297" i="11" s="1"/>
  <c r="A297" i="11"/>
  <c r="H296" i="11"/>
  <c r="G296" i="11"/>
  <c r="F296" i="11"/>
  <c r="I296" i="11" s="1"/>
  <c r="E296" i="11"/>
  <c r="D296" i="11"/>
  <c r="J296" i="11" s="1"/>
  <c r="B296" i="11"/>
  <c r="C296" i="11" s="1"/>
  <c r="A296" i="11"/>
  <c r="H295" i="11"/>
  <c r="G295" i="11"/>
  <c r="F295" i="11"/>
  <c r="I295" i="11" s="1"/>
  <c r="E295" i="11"/>
  <c r="D295" i="11"/>
  <c r="J295" i="11" s="1"/>
  <c r="B295" i="11"/>
  <c r="C295" i="11" s="1"/>
  <c r="A295" i="11"/>
  <c r="H294" i="11"/>
  <c r="G294" i="11"/>
  <c r="F294" i="11"/>
  <c r="I294" i="11" s="1"/>
  <c r="E294" i="11"/>
  <c r="D294" i="11"/>
  <c r="J294" i="11" s="1"/>
  <c r="B294" i="11"/>
  <c r="C294" i="11" s="1"/>
  <c r="A294" i="11"/>
  <c r="H293" i="11"/>
  <c r="G293" i="11"/>
  <c r="F293" i="11"/>
  <c r="I293" i="11" s="1"/>
  <c r="E293" i="11"/>
  <c r="D293" i="11"/>
  <c r="J293" i="11" s="1"/>
  <c r="B293" i="11"/>
  <c r="C293" i="11" s="1"/>
  <c r="A293" i="11"/>
  <c r="H292" i="11"/>
  <c r="G292" i="11"/>
  <c r="F292" i="11"/>
  <c r="I292" i="11" s="1"/>
  <c r="E292" i="11"/>
  <c r="D292" i="11"/>
  <c r="J292" i="11" s="1"/>
  <c r="B292" i="11"/>
  <c r="C292" i="11" s="1"/>
  <c r="A292" i="11"/>
  <c r="H291" i="11"/>
  <c r="G291" i="11"/>
  <c r="F291" i="11"/>
  <c r="I291" i="11" s="1"/>
  <c r="E291" i="11"/>
  <c r="D291" i="11"/>
  <c r="J291" i="11" s="1"/>
  <c r="B291" i="11"/>
  <c r="C291" i="11" s="1"/>
  <c r="A291" i="11"/>
  <c r="H290" i="11"/>
  <c r="G290" i="11"/>
  <c r="F290" i="11"/>
  <c r="I290" i="11" s="1"/>
  <c r="E290" i="11"/>
  <c r="D290" i="11"/>
  <c r="J290" i="11" s="1"/>
  <c r="B290" i="11"/>
  <c r="C290" i="11" s="1"/>
  <c r="A290" i="11"/>
  <c r="H289" i="11"/>
  <c r="G289" i="11"/>
  <c r="F289" i="11"/>
  <c r="I289" i="11" s="1"/>
  <c r="E289" i="11"/>
  <c r="D289" i="11"/>
  <c r="J289" i="11" s="1"/>
  <c r="B289" i="11"/>
  <c r="C289" i="11" s="1"/>
  <c r="A289" i="11"/>
  <c r="H288" i="11"/>
  <c r="G288" i="11"/>
  <c r="F288" i="11"/>
  <c r="I288" i="11" s="1"/>
  <c r="E288" i="11"/>
  <c r="D288" i="11"/>
  <c r="J288" i="11" s="1"/>
  <c r="B288" i="11"/>
  <c r="C288" i="11" s="1"/>
  <c r="A288" i="11"/>
  <c r="H287" i="11"/>
  <c r="G287" i="11"/>
  <c r="F287" i="11"/>
  <c r="I287" i="11" s="1"/>
  <c r="E287" i="11"/>
  <c r="D287" i="11"/>
  <c r="J287" i="11" s="1"/>
  <c r="B287" i="11"/>
  <c r="C287" i="11" s="1"/>
  <c r="A287" i="11"/>
  <c r="H286" i="11"/>
  <c r="G286" i="11"/>
  <c r="F286" i="11"/>
  <c r="I286" i="11" s="1"/>
  <c r="E286" i="11"/>
  <c r="D286" i="11"/>
  <c r="J286" i="11" s="1"/>
  <c r="B286" i="11"/>
  <c r="C286" i="11" s="1"/>
  <c r="A286" i="11"/>
  <c r="H285" i="11"/>
  <c r="G285" i="11"/>
  <c r="F285" i="11"/>
  <c r="I285" i="11" s="1"/>
  <c r="E285" i="11"/>
  <c r="D285" i="11"/>
  <c r="J285" i="11" s="1"/>
  <c r="B285" i="11"/>
  <c r="C285" i="11" s="1"/>
  <c r="A285" i="11"/>
  <c r="H284" i="11"/>
  <c r="G284" i="11"/>
  <c r="F284" i="11"/>
  <c r="I284" i="11" s="1"/>
  <c r="E284" i="11"/>
  <c r="D284" i="11"/>
  <c r="J284" i="11" s="1"/>
  <c r="B284" i="11"/>
  <c r="C284" i="11" s="1"/>
  <c r="A284" i="11"/>
  <c r="H283" i="11"/>
  <c r="G283" i="11"/>
  <c r="F283" i="11"/>
  <c r="I283" i="11" s="1"/>
  <c r="E283" i="11"/>
  <c r="D283" i="11"/>
  <c r="J283" i="11" s="1"/>
  <c r="B283" i="11"/>
  <c r="C283" i="11" s="1"/>
  <c r="A283" i="11"/>
  <c r="H282" i="11"/>
  <c r="G282" i="11"/>
  <c r="F282" i="11"/>
  <c r="I282" i="11" s="1"/>
  <c r="E282" i="11"/>
  <c r="D282" i="11"/>
  <c r="J282" i="11" s="1"/>
  <c r="B282" i="11"/>
  <c r="C282" i="11" s="1"/>
  <c r="A282" i="11"/>
  <c r="H281" i="11"/>
  <c r="G281" i="11"/>
  <c r="F281" i="11"/>
  <c r="I281" i="11" s="1"/>
  <c r="E281" i="11"/>
  <c r="D281" i="11"/>
  <c r="J281" i="11" s="1"/>
  <c r="B281" i="11"/>
  <c r="C281" i="11" s="1"/>
  <c r="A281" i="11"/>
  <c r="H280" i="11"/>
  <c r="G280" i="11"/>
  <c r="F280" i="11"/>
  <c r="I280" i="11" s="1"/>
  <c r="E280" i="11"/>
  <c r="D280" i="11"/>
  <c r="J280" i="11" s="1"/>
  <c r="B280" i="11"/>
  <c r="C280" i="11" s="1"/>
  <c r="A280" i="11"/>
  <c r="H279" i="11"/>
  <c r="G279" i="11"/>
  <c r="F279" i="11"/>
  <c r="I279" i="11" s="1"/>
  <c r="E279" i="11"/>
  <c r="D279" i="11"/>
  <c r="J279" i="11" s="1"/>
  <c r="B279" i="11"/>
  <c r="C279" i="11" s="1"/>
  <c r="A279" i="11"/>
  <c r="H278" i="11"/>
  <c r="G278" i="11"/>
  <c r="F278" i="11"/>
  <c r="I278" i="11" s="1"/>
  <c r="E278" i="11"/>
  <c r="D278" i="11"/>
  <c r="J278" i="11" s="1"/>
  <c r="B278" i="11"/>
  <c r="C278" i="11" s="1"/>
  <c r="A278" i="11"/>
  <c r="H277" i="11"/>
  <c r="G277" i="11"/>
  <c r="F277" i="11"/>
  <c r="I277" i="11" s="1"/>
  <c r="E277" i="11"/>
  <c r="D277" i="11"/>
  <c r="J277" i="11" s="1"/>
  <c r="B277" i="11"/>
  <c r="C277" i="11" s="1"/>
  <c r="A277" i="11"/>
  <c r="H276" i="11"/>
  <c r="G276" i="11"/>
  <c r="F276" i="11"/>
  <c r="I276" i="11" s="1"/>
  <c r="E276" i="11"/>
  <c r="D276" i="11"/>
  <c r="J276" i="11" s="1"/>
  <c r="B276" i="11"/>
  <c r="C276" i="11" s="1"/>
  <c r="A276" i="11"/>
  <c r="H275" i="11"/>
  <c r="G275" i="11"/>
  <c r="F275" i="11"/>
  <c r="I275" i="11" s="1"/>
  <c r="E275" i="11"/>
  <c r="D275" i="11"/>
  <c r="J275" i="11" s="1"/>
  <c r="B275" i="11"/>
  <c r="C275" i="11" s="1"/>
  <c r="A275" i="11"/>
  <c r="H274" i="11"/>
  <c r="G274" i="11"/>
  <c r="F274" i="11"/>
  <c r="I274" i="11" s="1"/>
  <c r="E274" i="11"/>
  <c r="D274" i="11"/>
  <c r="J274" i="11" s="1"/>
  <c r="B274" i="11"/>
  <c r="C274" i="11" s="1"/>
  <c r="A274" i="11"/>
  <c r="H273" i="11"/>
  <c r="G273" i="11"/>
  <c r="F273" i="11"/>
  <c r="I273" i="11" s="1"/>
  <c r="E273" i="11"/>
  <c r="D273" i="11"/>
  <c r="J273" i="11" s="1"/>
  <c r="B273" i="11"/>
  <c r="C273" i="11" s="1"/>
  <c r="A273" i="11"/>
  <c r="H272" i="11"/>
  <c r="G272" i="11"/>
  <c r="F272" i="11"/>
  <c r="I272" i="11" s="1"/>
  <c r="E272" i="11"/>
  <c r="D272" i="11"/>
  <c r="J272" i="11" s="1"/>
  <c r="B272" i="11"/>
  <c r="C272" i="11" s="1"/>
  <c r="A272" i="11"/>
  <c r="H271" i="11"/>
  <c r="G271" i="11"/>
  <c r="F271" i="11"/>
  <c r="I271" i="11" s="1"/>
  <c r="E271" i="11"/>
  <c r="D271" i="11"/>
  <c r="J271" i="11" s="1"/>
  <c r="K271" i="11" s="1"/>
  <c r="B271" i="11"/>
  <c r="C271" i="11" s="1"/>
  <c r="A271" i="11"/>
  <c r="H270" i="11"/>
  <c r="G270" i="11"/>
  <c r="F270" i="11"/>
  <c r="I270" i="11" s="1"/>
  <c r="E270" i="11"/>
  <c r="D270" i="11"/>
  <c r="J270" i="11" s="1"/>
  <c r="B270" i="11"/>
  <c r="C270" i="11" s="1"/>
  <c r="A270" i="11"/>
  <c r="H269" i="11"/>
  <c r="G269" i="11"/>
  <c r="F269" i="11"/>
  <c r="I269" i="11" s="1"/>
  <c r="E269" i="11"/>
  <c r="D269" i="11"/>
  <c r="J269" i="11" s="1"/>
  <c r="B269" i="11"/>
  <c r="C269" i="11" s="1"/>
  <c r="A269" i="11"/>
  <c r="H268" i="11"/>
  <c r="G268" i="11"/>
  <c r="F268" i="11"/>
  <c r="I268" i="11" s="1"/>
  <c r="E268" i="11"/>
  <c r="D268" i="11"/>
  <c r="J268" i="11" s="1"/>
  <c r="B268" i="11"/>
  <c r="C268" i="11" s="1"/>
  <c r="A268" i="11"/>
  <c r="H267" i="11"/>
  <c r="G267" i="11"/>
  <c r="F267" i="11"/>
  <c r="I267" i="11" s="1"/>
  <c r="E267" i="11"/>
  <c r="D267" i="11"/>
  <c r="J267" i="11" s="1"/>
  <c r="B267" i="11"/>
  <c r="C267" i="11" s="1"/>
  <c r="A267" i="11"/>
  <c r="H266" i="11"/>
  <c r="G266" i="11"/>
  <c r="F266" i="11"/>
  <c r="I266" i="11" s="1"/>
  <c r="E266" i="11"/>
  <c r="D266" i="11"/>
  <c r="J266" i="11" s="1"/>
  <c r="B266" i="11"/>
  <c r="C266" i="11" s="1"/>
  <c r="A266" i="11"/>
  <c r="H265" i="11"/>
  <c r="G265" i="11"/>
  <c r="F265" i="11"/>
  <c r="I265" i="11" s="1"/>
  <c r="E265" i="11"/>
  <c r="D265" i="11"/>
  <c r="J265" i="11" s="1"/>
  <c r="B265" i="11"/>
  <c r="C265" i="11" s="1"/>
  <c r="A265" i="11"/>
  <c r="H264" i="11"/>
  <c r="G264" i="11"/>
  <c r="F264" i="11"/>
  <c r="I264" i="11" s="1"/>
  <c r="E264" i="11"/>
  <c r="D264" i="11"/>
  <c r="J264" i="11" s="1"/>
  <c r="B264" i="11"/>
  <c r="C264" i="11" s="1"/>
  <c r="A264" i="11"/>
  <c r="H263" i="11"/>
  <c r="G263" i="11"/>
  <c r="F263" i="11"/>
  <c r="I263" i="11" s="1"/>
  <c r="E263" i="11"/>
  <c r="D263" i="11"/>
  <c r="J263" i="11" s="1"/>
  <c r="B263" i="11"/>
  <c r="C263" i="11" s="1"/>
  <c r="A263" i="11"/>
  <c r="H262" i="11"/>
  <c r="G262" i="11"/>
  <c r="F262" i="11"/>
  <c r="I262" i="11" s="1"/>
  <c r="E262" i="11"/>
  <c r="D262" i="11"/>
  <c r="J262" i="11" s="1"/>
  <c r="B262" i="11"/>
  <c r="C262" i="11" s="1"/>
  <c r="A262" i="11"/>
  <c r="H261" i="11"/>
  <c r="G261" i="11"/>
  <c r="F261" i="11"/>
  <c r="I261" i="11" s="1"/>
  <c r="E261" i="11"/>
  <c r="D261" i="11"/>
  <c r="J261" i="11" s="1"/>
  <c r="B261" i="11"/>
  <c r="C261" i="11" s="1"/>
  <c r="A261" i="11"/>
  <c r="H260" i="11"/>
  <c r="G260" i="11"/>
  <c r="F260" i="11"/>
  <c r="I260" i="11" s="1"/>
  <c r="E260" i="11"/>
  <c r="D260" i="11"/>
  <c r="J260" i="11" s="1"/>
  <c r="B260" i="11"/>
  <c r="C260" i="11" s="1"/>
  <c r="A260" i="11"/>
  <c r="H259" i="11"/>
  <c r="G259" i="11"/>
  <c r="F259" i="11"/>
  <c r="I259" i="11" s="1"/>
  <c r="E259" i="11"/>
  <c r="D259" i="11"/>
  <c r="J259" i="11" s="1"/>
  <c r="B259" i="11"/>
  <c r="C259" i="11" s="1"/>
  <c r="A259" i="11"/>
  <c r="H258" i="11"/>
  <c r="G258" i="11"/>
  <c r="F258" i="11"/>
  <c r="I258" i="11" s="1"/>
  <c r="E258" i="11"/>
  <c r="D258" i="11"/>
  <c r="J258" i="11" s="1"/>
  <c r="B258" i="11"/>
  <c r="C258" i="11" s="1"/>
  <c r="A258" i="11"/>
  <c r="H257" i="11"/>
  <c r="G257" i="11"/>
  <c r="F257" i="11"/>
  <c r="I257" i="11" s="1"/>
  <c r="E257" i="11"/>
  <c r="D257" i="11"/>
  <c r="J257" i="11" s="1"/>
  <c r="B257" i="11"/>
  <c r="C257" i="11" s="1"/>
  <c r="A257" i="11"/>
  <c r="H256" i="11"/>
  <c r="G256" i="11"/>
  <c r="F256" i="11"/>
  <c r="I256" i="11" s="1"/>
  <c r="E256" i="11"/>
  <c r="D256" i="11"/>
  <c r="J256" i="11" s="1"/>
  <c r="B256" i="11"/>
  <c r="C256" i="11" s="1"/>
  <c r="A256" i="11"/>
  <c r="H255" i="11"/>
  <c r="G255" i="11"/>
  <c r="F255" i="11"/>
  <c r="I255" i="11" s="1"/>
  <c r="E255" i="11"/>
  <c r="D255" i="11"/>
  <c r="J255" i="11" s="1"/>
  <c r="B255" i="11"/>
  <c r="C255" i="11" s="1"/>
  <c r="A255" i="11"/>
  <c r="H254" i="11"/>
  <c r="G254" i="11"/>
  <c r="F254" i="11"/>
  <c r="I254" i="11" s="1"/>
  <c r="E254" i="11"/>
  <c r="D254" i="11"/>
  <c r="J254" i="11" s="1"/>
  <c r="B254" i="11"/>
  <c r="C254" i="11" s="1"/>
  <c r="A254" i="11"/>
  <c r="H253" i="11"/>
  <c r="G253" i="11"/>
  <c r="F253" i="11"/>
  <c r="I253" i="11" s="1"/>
  <c r="E253" i="11"/>
  <c r="D253" i="11"/>
  <c r="J253" i="11" s="1"/>
  <c r="B253" i="11"/>
  <c r="C253" i="11" s="1"/>
  <c r="A253" i="11"/>
  <c r="H252" i="11"/>
  <c r="G252" i="11"/>
  <c r="F252" i="11"/>
  <c r="I252" i="11" s="1"/>
  <c r="E252" i="11"/>
  <c r="D252" i="11"/>
  <c r="J252" i="11" s="1"/>
  <c r="B252" i="11"/>
  <c r="C252" i="11" s="1"/>
  <c r="A252" i="11"/>
  <c r="H251" i="11"/>
  <c r="G251" i="11"/>
  <c r="F251" i="11"/>
  <c r="I251" i="11" s="1"/>
  <c r="E251" i="11"/>
  <c r="D251" i="11"/>
  <c r="J251" i="11" s="1"/>
  <c r="B251" i="11"/>
  <c r="C251" i="11" s="1"/>
  <c r="A251" i="11"/>
  <c r="H250" i="11"/>
  <c r="G250" i="11"/>
  <c r="F250" i="11"/>
  <c r="I250" i="11" s="1"/>
  <c r="E250" i="11"/>
  <c r="D250" i="11"/>
  <c r="J250" i="11" s="1"/>
  <c r="B250" i="11"/>
  <c r="C250" i="11" s="1"/>
  <c r="A250" i="11"/>
  <c r="H249" i="11"/>
  <c r="G249" i="11"/>
  <c r="F249" i="11"/>
  <c r="I249" i="11" s="1"/>
  <c r="E249" i="11"/>
  <c r="D249" i="11"/>
  <c r="J249" i="11" s="1"/>
  <c r="B249" i="11"/>
  <c r="C249" i="11" s="1"/>
  <c r="A249" i="11"/>
  <c r="H248" i="11"/>
  <c r="G248" i="11"/>
  <c r="F248" i="11"/>
  <c r="I248" i="11" s="1"/>
  <c r="E248" i="11"/>
  <c r="D248" i="11"/>
  <c r="J248" i="11" s="1"/>
  <c r="B248" i="11"/>
  <c r="C248" i="11" s="1"/>
  <c r="A248" i="11"/>
  <c r="H247" i="11"/>
  <c r="G247" i="11"/>
  <c r="F247" i="11"/>
  <c r="I247" i="11" s="1"/>
  <c r="E247" i="11"/>
  <c r="D247" i="11"/>
  <c r="J247" i="11" s="1"/>
  <c r="B247" i="11"/>
  <c r="C247" i="11" s="1"/>
  <c r="A247" i="11"/>
  <c r="H246" i="11"/>
  <c r="G246" i="11"/>
  <c r="F246" i="11"/>
  <c r="I246" i="11" s="1"/>
  <c r="E246" i="11"/>
  <c r="D246" i="11"/>
  <c r="J246" i="11" s="1"/>
  <c r="B246" i="11"/>
  <c r="C246" i="11" s="1"/>
  <c r="A246" i="11"/>
  <c r="H245" i="11"/>
  <c r="G245" i="11"/>
  <c r="F245" i="11"/>
  <c r="I245" i="11" s="1"/>
  <c r="E245" i="11"/>
  <c r="D245" i="11"/>
  <c r="J245" i="11" s="1"/>
  <c r="B245" i="11"/>
  <c r="C245" i="11" s="1"/>
  <c r="A245" i="11"/>
  <c r="H244" i="11"/>
  <c r="G244" i="11"/>
  <c r="F244" i="11"/>
  <c r="I244" i="11" s="1"/>
  <c r="E244" i="11"/>
  <c r="D244" i="11"/>
  <c r="J244" i="11" s="1"/>
  <c r="B244" i="11"/>
  <c r="C244" i="11" s="1"/>
  <c r="A244" i="11"/>
  <c r="H243" i="11"/>
  <c r="G243" i="11"/>
  <c r="F243" i="11"/>
  <c r="I243" i="11" s="1"/>
  <c r="E243" i="11"/>
  <c r="D243" i="11"/>
  <c r="J243" i="11" s="1"/>
  <c r="B243" i="11"/>
  <c r="C243" i="11" s="1"/>
  <c r="A243" i="11"/>
  <c r="H242" i="11"/>
  <c r="G242" i="11"/>
  <c r="F242" i="11"/>
  <c r="I242" i="11" s="1"/>
  <c r="E242" i="11"/>
  <c r="D242" i="11"/>
  <c r="J242" i="11" s="1"/>
  <c r="B242" i="11"/>
  <c r="C242" i="11" s="1"/>
  <c r="A242" i="11"/>
  <c r="H241" i="11"/>
  <c r="G241" i="11"/>
  <c r="F241" i="11"/>
  <c r="I241" i="11" s="1"/>
  <c r="E241" i="11"/>
  <c r="D241" i="11"/>
  <c r="J241" i="11" s="1"/>
  <c r="B241" i="11"/>
  <c r="C241" i="11" s="1"/>
  <c r="A241" i="11"/>
  <c r="H240" i="11"/>
  <c r="G240" i="11"/>
  <c r="F240" i="11"/>
  <c r="I240" i="11" s="1"/>
  <c r="E240" i="11"/>
  <c r="D240" i="11"/>
  <c r="J240" i="11" s="1"/>
  <c r="B240" i="11"/>
  <c r="C240" i="11" s="1"/>
  <c r="A240" i="11"/>
  <c r="H239" i="11"/>
  <c r="G239" i="11"/>
  <c r="F239" i="11"/>
  <c r="I239" i="11" s="1"/>
  <c r="E239" i="11"/>
  <c r="D239" i="11"/>
  <c r="J239" i="11" s="1"/>
  <c r="B239" i="11"/>
  <c r="C239" i="11" s="1"/>
  <c r="A239" i="11"/>
  <c r="H238" i="11"/>
  <c r="G238" i="11"/>
  <c r="F238" i="11"/>
  <c r="I238" i="11" s="1"/>
  <c r="E238" i="11"/>
  <c r="D238" i="11"/>
  <c r="J238" i="11" s="1"/>
  <c r="B238" i="11"/>
  <c r="C238" i="11" s="1"/>
  <c r="A238" i="11"/>
  <c r="H237" i="11"/>
  <c r="G237" i="11"/>
  <c r="F237" i="11"/>
  <c r="I237" i="11" s="1"/>
  <c r="E237" i="11"/>
  <c r="D237" i="11"/>
  <c r="J237" i="11" s="1"/>
  <c r="B237" i="11"/>
  <c r="C237" i="11" s="1"/>
  <c r="A237" i="11"/>
  <c r="H236" i="11"/>
  <c r="G236" i="11"/>
  <c r="F236" i="11"/>
  <c r="I236" i="11" s="1"/>
  <c r="E236" i="11"/>
  <c r="D236" i="11"/>
  <c r="J236" i="11" s="1"/>
  <c r="B236" i="11"/>
  <c r="C236" i="11" s="1"/>
  <c r="A236" i="11"/>
  <c r="H235" i="11"/>
  <c r="G235" i="11"/>
  <c r="F235" i="11"/>
  <c r="I235" i="11" s="1"/>
  <c r="E235" i="11"/>
  <c r="D235" i="11"/>
  <c r="J235" i="11" s="1"/>
  <c r="B235" i="11"/>
  <c r="C235" i="11" s="1"/>
  <c r="A235" i="11"/>
  <c r="H234" i="11"/>
  <c r="G234" i="11"/>
  <c r="F234" i="11"/>
  <c r="I234" i="11" s="1"/>
  <c r="E234" i="11"/>
  <c r="D234" i="11"/>
  <c r="J234" i="11" s="1"/>
  <c r="B234" i="11"/>
  <c r="C234" i="11" s="1"/>
  <c r="A234" i="11"/>
  <c r="H233" i="11"/>
  <c r="G233" i="11"/>
  <c r="F233" i="11"/>
  <c r="I233" i="11" s="1"/>
  <c r="E233" i="11"/>
  <c r="D233" i="11"/>
  <c r="J233" i="11" s="1"/>
  <c r="B233" i="11"/>
  <c r="C233" i="11" s="1"/>
  <c r="A233" i="11"/>
  <c r="H232" i="11"/>
  <c r="G232" i="11"/>
  <c r="F232" i="11"/>
  <c r="I232" i="11" s="1"/>
  <c r="E232" i="11"/>
  <c r="D232" i="11"/>
  <c r="J232" i="11" s="1"/>
  <c r="B232" i="11"/>
  <c r="C232" i="11" s="1"/>
  <c r="A232" i="11"/>
  <c r="H231" i="11"/>
  <c r="G231" i="11"/>
  <c r="F231" i="11"/>
  <c r="I231" i="11" s="1"/>
  <c r="E231" i="11"/>
  <c r="D231" i="11"/>
  <c r="J231" i="11" s="1"/>
  <c r="B231" i="11"/>
  <c r="C231" i="11" s="1"/>
  <c r="A231" i="11"/>
  <c r="H230" i="11"/>
  <c r="G230" i="11"/>
  <c r="F230" i="11"/>
  <c r="I230" i="11" s="1"/>
  <c r="E230" i="11"/>
  <c r="D230" i="11"/>
  <c r="J230" i="11" s="1"/>
  <c r="B230" i="11"/>
  <c r="C230" i="11" s="1"/>
  <c r="A230" i="11"/>
  <c r="H229" i="11"/>
  <c r="G229" i="11"/>
  <c r="F229" i="11"/>
  <c r="I229" i="11" s="1"/>
  <c r="E229" i="11"/>
  <c r="D229" i="11"/>
  <c r="J229" i="11" s="1"/>
  <c r="B229" i="11"/>
  <c r="C229" i="11" s="1"/>
  <c r="A229" i="11"/>
  <c r="H228" i="11"/>
  <c r="G228" i="11"/>
  <c r="F228" i="11"/>
  <c r="I228" i="11" s="1"/>
  <c r="E228" i="11"/>
  <c r="D228" i="11"/>
  <c r="J228" i="11" s="1"/>
  <c r="B228" i="11"/>
  <c r="C228" i="11" s="1"/>
  <c r="A228" i="11"/>
  <c r="H227" i="11"/>
  <c r="G227" i="11"/>
  <c r="F227" i="11"/>
  <c r="I227" i="11" s="1"/>
  <c r="E227" i="11"/>
  <c r="D227" i="11"/>
  <c r="J227" i="11" s="1"/>
  <c r="B227" i="11"/>
  <c r="C227" i="11" s="1"/>
  <c r="A227" i="11"/>
  <c r="H226" i="11"/>
  <c r="G226" i="11"/>
  <c r="F226" i="11"/>
  <c r="I226" i="11" s="1"/>
  <c r="E226" i="11"/>
  <c r="D226" i="11"/>
  <c r="J226" i="11" s="1"/>
  <c r="B226" i="11"/>
  <c r="C226" i="11" s="1"/>
  <c r="A226" i="11"/>
  <c r="H225" i="11"/>
  <c r="G225" i="11"/>
  <c r="F225" i="11"/>
  <c r="I225" i="11" s="1"/>
  <c r="E225" i="11"/>
  <c r="D225" i="11"/>
  <c r="J225" i="11" s="1"/>
  <c r="B225" i="11"/>
  <c r="C225" i="11" s="1"/>
  <c r="A225" i="11"/>
  <c r="H224" i="11"/>
  <c r="G224" i="11"/>
  <c r="F224" i="11"/>
  <c r="I224" i="11" s="1"/>
  <c r="E224" i="11"/>
  <c r="D224" i="11"/>
  <c r="J224" i="11" s="1"/>
  <c r="B224" i="11"/>
  <c r="C224" i="11" s="1"/>
  <c r="A224" i="11"/>
  <c r="H223" i="11"/>
  <c r="G223" i="11"/>
  <c r="F223" i="11"/>
  <c r="I223" i="11" s="1"/>
  <c r="E223" i="11"/>
  <c r="D223" i="11"/>
  <c r="J223" i="11" s="1"/>
  <c r="B223" i="11"/>
  <c r="C223" i="11" s="1"/>
  <c r="A223" i="11"/>
  <c r="H222" i="11"/>
  <c r="G222" i="11"/>
  <c r="F222" i="11"/>
  <c r="I222" i="11" s="1"/>
  <c r="E222" i="11"/>
  <c r="D222" i="11"/>
  <c r="J222" i="11" s="1"/>
  <c r="B222" i="11"/>
  <c r="C222" i="11" s="1"/>
  <c r="A222" i="11"/>
  <c r="H221" i="11"/>
  <c r="G221" i="11"/>
  <c r="F221" i="11"/>
  <c r="I221" i="11" s="1"/>
  <c r="E221" i="11"/>
  <c r="D221" i="11"/>
  <c r="J221" i="11" s="1"/>
  <c r="B221" i="11"/>
  <c r="C221" i="11" s="1"/>
  <c r="A221" i="11"/>
  <c r="H220" i="11"/>
  <c r="G220" i="11"/>
  <c r="F220" i="11"/>
  <c r="I220" i="11" s="1"/>
  <c r="E220" i="11"/>
  <c r="D220" i="11"/>
  <c r="J220" i="11" s="1"/>
  <c r="B220" i="11"/>
  <c r="C220" i="11" s="1"/>
  <c r="A220" i="11"/>
  <c r="H219" i="11"/>
  <c r="G219" i="11"/>
  <c r="F219" i="11"/>
  <c r="I219" i="11" s="1"/>
  <c r="E219" i="11"/>
  <c r="D219" i="11"/>
  <c r="J219" i="11" s="1"/>
  <c r="B219" i="11"/>
  <c r="C219" i="11" s="1"/>
  <c r="A219" i="11"/>
  <c r="H218" i="11"/>
  <c r="G218" i="11"/>
  <c r="F218" i="11"/>
  <c r="I218" i="11" s="1"/>
  <c r="E218" i="11"/>
  <c r="D218" i="11"/>
  <c r="J218" i="11" s="1"/>
  <c r="B218" i="11"/>
  <c r="C218" i="11" s="1"/>
  <c r="A218" i="11"/>
  <c r="H217" i="11"/>
  <c r="G217" i="11"/>
  <c r="F217" i="11"/>
  <c r="I217" i="11" s="1"/>
  <c r="E217" i="11"/>
  <c r="D217" i="11"/>
  <c r="J217" i="11" s="1"/>
  <c r="B217" i="11"/>
  <c r="C217" i="11" s="1"/>
  <c r="A217" i="11"/>
  <c r="H216" i="11"/>
  <c r="G216" i="11"/>
  <c r="F216" i="11"/>
  <c r="I216" i="11" s="1"/>
  <c r="E216" i="11"/>
  <c r="D216" i="11"/>
  <c r="J216" i="11" s="1"/>
  <c r="B216" i="11"/>
  <c r="C216" i="11" s="1"/>
  <c r="A216" i="11"/>
  <c r="H215" i="11"/>
  <c r="G215" i="11"/>
  <c r="F215" i="11"/>
  <c r="I215" i="11" s="1"/>
  <c r="E215" i="11"/>
  <c r="D215" i="11"/>
  <c r="J215" i="11" s="1"/>
  <c r="B215" i="11"/>
  <c r="C215" i="11" s="1"/>
  <c r="A215" i="11"/>
  <c r="H214" i="11"/>
  <c r="G214" i="11"/>
  <c r="F214" i="11"/>
  <c r="I214" i="11" s="1"/>
  <c r="E214" i="11"/>
  <c r="D214" i="11"/>
  <c r="J214" i="11" s="1"/>
  <c r="B214" i="11"/>
  <c r="C214" i="11" s="1"/>
  <c r="A214" i="11"/>
  <c r="H213" i="11"/>
  <c r="G213" i="11"/>
  <c r="F213" i="11"/>
  <c r="I213" i="11" s="1"/>
  <c r="E213" i="11"/>
  <c r="D213" i="11"/>
  <c r="J213" i="11" s="1"/>
  <c r="B213" i="11"/>
  <c r="C213" i="11" s="1"/>
  <c r="A213" i="11"/>
  <c r="H212" i="11"/>
  <c r="G212" i="11"/>
  <c r="F212" i="11"/>
  <c r="I212" i="11" s="1"/>
  <c r="E212" i="11"/>
  <c r="D212" i="11"/>
  <c r="J212" i="11" s="1"/>
  <c r="O212" i="11" s="1"/>
  <c r="B212" i="11"/>
  <c r="C212" i="11" s="1"/>
  <c r="A212" i="11"/>
  <c r="H211" i="11"/>
  <c r="G211" i="11"/>
  <c r="F211" i="11"/>
  <c r="I211" i="11" s="1"/>
  <c r="E211" i="11"/>
  <c r="D211" i="11"/>
  <c r="J211" i="11" s="1"/>
  <c r="B211" i="11"/>
  <c r="C211" i="11" s="1"/>
  <c r="A211" i="11"/>
  <c r="H210" i="11"/>
  <c r="G210" i="11"/>
  <c r="F210" i="11"/>
  <c r="I210" i="11" s="1"/>
  <c r="E210" i="11"/>
  <c r="D210" i="11"/>
  <c r="J210" i="11" s="1"/>
  <c r="B210" i="11"/>
  <c r="C210" i="11" s="1"/>
  <c r="A210" i="11"/>
  <c r="H209" i="11"/>
  <c r="G209" i="11"/>
  <c r="F209" i="11"/>
  <c r="I209" i="11" s="1"/>
  <c r="E209" i="11"/>
  <c r="D209" i="11"/>
  <c r="J209" i="11" s="1"/>
  <c r="B209" i="11"/>
  <c r="C209" i="11" s="1"/>
  <c r="A209" i="11"/>
  <c r="H208" i="11"/>
  <c r="G208" i="11"/>
  <c r="F208" i="11"/>
  <c r="I208" i="11" s="1"/>
  <c r="E208" i="11"/>
  <c r="D208" i="11"/>
  <c r="J208" i="11" s="1"/>
  <c r="B208" i="11"/>
  <c r="C208" i="11" s="1"/>
  <c r="A208" i="11"/>
  <c r="H207" i="11"/>
  <c r="G207" i="11"/>
  <c r="F207" i="11"/>
  <c r="I207" i="11" s="1"/>
  <c r="E207" i="11"/>
  <c r="D207" i="11"/>
  <c r="J207" i="11" s="1"/>
  <c r="B207" i="11"/>
  <c r="C207" i="11" s="1"/>
  <c r="A207" i="11"/>
  <c r="H206" i="11"/>
  <c r="G206" i="11"/>
  <c r="F206" i="11"/>
  <c r="I206" i="11" s="1"/>
  <c r="E206" i="11"/>
  <c r="D206" i="11"/>
  <c r="J206" i="11" s="1"/>
  <c r="B206" i="11"/>
  <c r="C206" i="11" s="1"/>
  <c r="A206" i="11"/>
  <c r="H205" i="11"/>
  <c r="G205" i="11"/>
  <c r="F205" i="11"/>
  <c r="I205" i="11" s="1"/>
  <c r="E205" i="11"/>
  <c r="D205" i="11"/>
  <c r="J205" i="11" s="1"/>
  <c r="B205" i="11"/>
  <c r="C205" i="11" s="1"/>
  <c r="A205" i="11"/>
  <c r="H204" i="11"/>
  <c r="G204" i="11"/>
  <c r="F204" i="11"/>
  <c r="I204" i="11" s="1"/>
  <c r="E204" i="11"/>
  <c r="D204" i="11"/>
  <c r="J204" i="11" s="1"/>
  <c r="B204" i="11"/>
  <c r="C204" i="11" s="1"/>
  <c r="A204" i="11"/>
  <c r="H203" i="11"/>
  <c r="G203" i="11"/>
  <c r="F203" i="11"/>
  <c r="I203" i="11" s="1"/>
  <c r="E203" i="11"/>
  <c r="D203" i="11"/>
  <c r="J203" i="11" s="1"/>
  <c r="B203" i="11"/>
  <c r="C203" i="11" s="1"/>
  <c r="A203" i="11"/>
  <c r="H202" i="11"/>
  <c r="G202" i="11"/>
  <c r="F202" i="11"/>
  <c r="I202" i="11" s="1"/>
  <c r="E202" i="11"/>
  <c r="D202" i="11"/>
  <c r="J202" i="11" s="1"/>
  <c r="B202" i="11"/>
  <c r="C202" i="11" s="1"/>
  <c r="A202" i="11"/>
  <c r="H201" i="11"/>
  <c r="G201" i="11"/>
  <c r="F201" i="11"/>
  <c r="I201" i="11" s="1"/>
  <c r="E201" i="11"/>
  <c r="D201" i="11"/>
  <c r="J201" i="11" s="1"/>
  <c r="B201" i="11"/>
  <c r="C201" i="11" s="1"/>
  <c r="A201" i="11"/>
  <c r="H200" i="11"/>
  <c r="G200" i="11"/>
  <c r="F200" i="11"/>
  <c r="I200" i="11" s="1"/>
  <c r="E200" i="11"/>
  <c r="D200" i="11"/>
  <c r="J200" i="11" s="1"/>
  <c r="B200" i="11"/>
  <c r="C200" i="11" s="1"/>
  <c r="A200" i="11"/>
  <c r="H199" i="11"/>
  <c r="G199" i="11"/>
  <c r="F199" i="11"/>
  <c r="I199" i="11" s="1"/>
  <c r="E199" i="11"/>
  <c r="D199" i="11"/>
  <c r="J199" i="11" s="1"/>
  <c r="B199" i="11"/>
  <c r="C199" i="11" s="1"/>
  <c r="A199" i="11"/>
  <c r="H198" i="11"/>
  <c r="G198" i="11"/>
  <c r="F198" i="11"/>
  <c r="I198" i="11" s="1"/>
  <c r="E198" i="11"/>
  <c r="D198" i="11"/>
  <c r="J198" i="11" s="1"/>
  <c r="B198" i="11"/>
  <c r="C198" i="11" s="1"/>
  <c r="A198" i="11"/>
  <c r="H197" i="11"/>
  <c r="G197" i="11"/>
  <c r="F197" i="11"/>
  <c r="I197" i="11" s="1"/>
  <c r="E197" i="11"/>
  <c r="D197" i="11"/>
  <c r="J197" i="11" s="1"/>
  <c r="B197" i="11"/>
  <c r="C197" i="11" s="1"/>
  <c r="A197" i="11"/>
  <c r="H196" i="11"/>
  <c r="G196" i="11"/>
  <c r="F196" i="11"/>
  <c r="I196" i="11" s="1"/>
  <c r="E196" i="11"/>
  <c r="D196" i="11"/>
  <c r="J196" i="11" s="1"/>
  <c r="B196" i="11"/>
  <c r="C196" i="11" s="1"/>
  <c r="A196" i="11"/>
  <c r="H195" i="11"/>
  <c r="G195" i="11"/>
  <c r="F195" i="11"/>
  <c r="I195" i="11" s="1"/>
  <c r="E195" i="11"/>
  <c r="D195" i="11"/>
  <c r="J195" i="11" s="1"/>
  <c r="B195" i="11"/>
  <c r="C195" i="11" s="1"/>
  <c r="A195" i="11"/>
  <c r="H194" i="11"/>
  <c r="G194" i="11"/>
  <c r="F194" i="11"/>
  <c r="I194" i="11" s="1"/>
  <c r="E194" i="11"/>
  <c r="D194" i="11"/>
  <c r="J194" i="11" s="1"/>
  <c r="B194" i="11"/>
  <c r="C194" i="11" s="1"/>
  <c r="A194" i="11"/>
  <c r="H193" i="11"/>
  <c r="G193" i="11"/>
  <c r="F193" i="11"/>
  <c r="I193" i="11" s="1"/>
  <c r="E193" i="11"/>
  <c r="D193" i="11"/>
  <c r="J193" i="11" s="1"/>
  <c r="B193" i="11"/>
  <c r="C193" i="11" s="1"/>
  <c r="A193" i="11"/>
  <c r="H192" i="11"/>
  <c r="G192" i="11"/>
  <c r="F192" i="11"/>
  <c r="I192" i="11" s="1"/>
  <c r="E192" i="11"/>
  <c r="D192" i="11"/>
  <c r="J192" i="11" s="1"/>
  <c r="B192" i="11"/>
  <c r="C192" i="11" s="1"/>
  <c r="A192" i="11"/>
  <c r="H191" i="11"/>
  <c r="G191" i="11"/>
  <c r="F191" i="11"/>
  <c r="I191" i="11" s="1"/>
  <c r="E191" i="11"/>
  <c r="D191" i="11"/>
  <c r="J191" i="11" s="1"/>
  <c r="B191" i="11"/>
  <c r="C191" i="11" s="1"/>
  <c r="A191" i="11"/>
  <c r="H190" i="11"/>
  <c r="G190" i="11"/>
  <c r="F190" i="11"/>
  <c r="I190" i="11" s="1"/>
  <c r="E190" i="11"/>
  <c r="D190" i="11"/>
  <c r="J190" i="11" s="1"/>
  <c r="B190" i="11"/>
  <c r="C190" i="11" s="1"/>
  <c r="A190" i="11"/>
  <c r="H189" i="11"/>
  <c r="G189" i="11"/>
  <c r="F189" i="11"/>
  <c r="I189" i="11" s="1"/>
  <c r="E189" i="11"/>
  <c r="D189" i="11"/>
  <c r="J189" i="11" s="1"/>
  <c r="B189" i="11"/>
  <c r="C189" i="11" s="1"/>
  <c r="A189" i="11"/>
  <c r="H188" i="11"/>
  <c r="G188" i="11"/>
  <c r="F188" i="11"/>
  <c r="I188" i="11" s="1"/>
  <c r="E188" i="11"/>
  <c r="D188" i="11"/>
  <c r="J188" i="11" s="1"/>
  <c r="B188" i="11"/>
  <c r="C188" i="11" s="1"/>
  <c r="A188" i="11"/>
  <c r="H187" i="11"/>
  <c r="G187" i="11"/>
  <c r="F187" i="11"/>
  <c r="I187" i="11" s="1"/>
  <c r="E187" i="11"/>
  <c r="D187" i="11"/>
  <c r="J187" i="11" s="1"/>
  <c r="B187" i="11"/>
  <c r="C187" i="11" s="1"/>
  <c r="A187" i="11"/>
  <c r="H186" i="11"/>
  <c r="G186" i="11"/>
  <c r="F186" i="11"/>
  <c r="I186" i="11" s="1"/>
  <c r="E186" i="11"/>
  <c r="D186" i="11"/>
  <c r="J186" i="11" s="1"/>
  <c r="B186" i="11"/>
  <c r="C186" i="11" s="1"/>
  <c r="A186" i="11"/>
  <c r="H185" i="11"/>
  <c r="G185" i="11"/>
  <c r="F185" i="11"/>
  <c r="I185" i="11" s="1"/>
  <c r="E185" i="11"/>
  <c r="D185" i="11"/>
  <c r="J185" i="11" s="1"/>
  <c r="B185" i="11"/>
  <c r="C185" i="11" s="1"/>
  <c r="A185" i="11"/>
  <c r="H184" i="11"/>
  <c r="G184" i="11"/>
  <c r="F184" i="11"/>
  <c r="I184" i="11" s="1"/>
  <c r="E184" i="11"/>
  <c r="D184" i="11"/>
  <c r="J184" i="11" s="1"/>
  <c r="B184" i="11"/>
  <c r="C184" i="11" s="1"/>
  <c r="A184" i="11"/>
  <c r="H183" i="11"/>
  <c r="G183" i="11"/>
  <c r="F183" i="11"/>
  <c r="I183" i="11" s="1"/>
  <c r="E183" i="11"/>
  <c r="D183" i="11"/>
  <c r="J183" i="11" s="1"/>
  <c r="B183" i="11"/>
  <c r="C183" i="11" s="1"/>
  <c r="A183" i="11"/>
  <c r="H182" i="11"/>
  <c r="G182" i="11"/>
  <c r="F182" i="11"/>
  <c r="I182" i="11" s="1"/>
  <c r="E182" i="11"/>
  <c r="D182" i="11"/>
  <c r="J182" i="11" s="1"/>
  <c r="B182" i="11"/>
  <c r="C182" i="11" s="1"/>
  <c r="A182" i="11"/>
  <c r="H181" i="11"/>
  <c r="G181" i="11"/>
  <c r="F181" i="11"/>
  <c r="I181" i="11" s="1"/>
  <c r="E181" i="11"/>
  <c r="D181" i="11"/>
  <c r="J181" i="11" s="1"/>
  <c r="B181" i="11"/>
  <c r="C181" i="11" s="1"/>
  <c r="A181" i="11"/>
  <c r="H180" i="11"/>
  <c r="G180" i="11"/>
  <c r="F180" i="11"/>
  <c r="I180" i="11" s="1"/>
  <c r="E180" i="11"/>
  <c r="D180" i="11"/>
  <c r="J180" i="11" s="1"/>
  <c r="B180" i="11"/>
  <c r="C180" i="11" s="1"/>
  <c r="A180" i="11"/>
  <c r="H179" i="11"/>
  <c r="G179" i="11"/>
  <c r="F179" i="11"/>
  <c r="I179" i="11" s="1"/>
  <c r="E179" i="11"/>
  <c r="D179" i="11"/>
  <c r="J179" i="11" s="1"/>
  <c r="B179" i="11"/>
  <c r="C179" i="11" s="1"/>
  <c r="A179" i="11"/>
  <c r="H178" i="11"/>
  <c r="G178" i="11"/>
  <c r="F178" i="11"/>
  <c r="I178" i="11" s="1"/>
  <c r="E178" i="11"/>
  <c r="D178" i="11"/>
  <c r="J178" i="11" s="1"/>
  <c r="B178" i="11"/>
  <c r="C178" i="11" s="1"/>
  <c r="A178" i="11"/>
  <c r="H177" i="11"/>
  <c r="G177" i="11"/>
  <c r="F177" i="11"/>
  <c r="I177" i="11" s="1"/>
  <c r="E177" i="11"/>
  <c r="D177" i="11"/>
  <c r="J177" i="11" s="1"/>
  <c r="B177" i="11"/>
  <c r="C177" i="11" s="1"/>
  <c r="A177" i="11"/>
  <c r="H176" i="11"/>
  <c r="G176" i="11"/>
  <c r="F176" i="11"/>
  <c r="I176" i="11" s="1"/>
  <c r="E176" i="11"/>
  <c r="D176" i="11"/>
  <c r="J176" i="11" s="1"/>
  <c r="B176" i="11"/>
  <c r="C176" i="11" s="1"/>
  <c r="A176" i="11"/>
  <c r="H175" i="11"/>
  <c r="G175" i="11"/>
  <c r="F175" i="11"/>
  <c r="I175" i="11" s="1"/>
  <c r="E175" i="11"/>
  <c r="D175" i="11"/>
  <c r="J175" i="11" s="1"/>
  <c r="B175" i="11"/>
  <c r="C175" i="11" s="1"/>
  <c r="A175" i="11"/>
  <c r="H174" i="11"/>
  <c r="G174" i="11"/>
  <c r="F174" i="11"/>
  <c r="I174" i="11" s="1"/>
  <c r="E174" i="11"/>
  <c r="D174" i="11"/>
  <c r="J174" i="11" s="1"/>
  <c r="B174" i="11"/>
  <c r="C174" i="11" s="1"/>
  <c r="A174" i="11"/>
  <c r="H173" i="11"/>
  <c r="G173" i="11"/>
  <c r="F173" i="11"/>
  <c r="I173" i="11" s="1"/>
  <c r="E173" i="11"/>
  <c r="D173" i="11"/>
  <c r="J173" i="11" s="1"/>
  <c r="B173" i="11"/>
  <c r="C173" i="11" s="1"/>
  <c r="A173" i="11"/>
  <c r="H172" i="11"/>
  <c r="G172" i="11"/>
  <c r="F172" i="11"/>
  <c r="I172" i="11" s="1"/>
  <c r="E172" i="11"/>
  <c r="D172" i="11"/>
  <c r="J172" i="11" s="1"/>
  <c r="B172" i="11"/>
  <c r="C172" i="11" s="1"/>
  <c r="A172" i="11"/>
  <c r="H171" i="11"/>
  <c r="G171" i="11"/>
  <c r="F171" i="11"/>
  <c r="I171" i="11" s="1"/>
  <c r="E171" i="11"/>
  <c r="D171" i="11"/>
  <c r="J171" i="11" s="1"/>
  <c r="B171" i="11"/>
  <c r="C171" i="11" s="1"/>
  <c r="A171" i="11"/>
  <c r="H170" i="11"/>
  <c r="G170" i="11"/>
  <c r="F170" i="11"/>
  <c r="I170" i="11" s="1"/>
  <c r="E170" i="11"/>
  <c r="D170" i="11"/>
  <c r="J170" i="11" s="1"/>
  <c r="B170" i="11"/>
  <c r="C170" i="11" s="1"/>
  <c r="A170" i="11"/>
  <c r="H169" i="11"/>
  <c r="G169" i="11"/>
  <c r="F169" i="11"/>
  <c r="I169" i="11" s="1"/>
  <c r="E169" i="11"/>
  <c r="D169" i="11"/>
  <c r="J169" i="11" s="1"/>
  <c r="B169" i="11"/>
  <c r="C169" i="11" s="1"/>
  <c r="A169" i="11"/>
  <c r="H168" i="11"/>
  <c r="G168" i="11"/>
  <c r="F168" i="11"/>
  <c r="I168" i="11" s="1"/>
  <c r="E168" i="11"/>
  <c r="D168" i="11"/>
  <c r="J168" i="11" s="1"/>
  <c r="B168" i="11"/>
  <c r="C168" i="11" s="1"/>
  <c r="A168" i="11"/>
  <c r="H167" i="11"/>
  <c r="G167" i="11"/>
  <c r="F167" i="11"/>
  <c r="I167" i="11" s="1"/>
  <c r="E167" i="11"/>
  <c r="D167" i="11"/>
  <c r="J167" i="11" s="1"/>
  <c r="B167" i="11"/>
  <c r="C167" i="11" s="1"/>
  <c r="A167" i="11"/>
  <c r="H166" i="11"/>
  <c r="G166" i="11"/>
  <c r="F166" i="11"/>
  <c r="I166" i="11" s="1"/>
  <c r="E166" i="11"/>
  <c r="D166" i="11"/>
  <c r="J166" i="11" s="1"/>
  <c r="B166" i="11"/>
  <c r="C166" i="11" s="1"/>
  <c r="A166" i="11"/>
  <c r="H165" i="11"/>
  <c r="G165" i="11"/>
  <c r="F165" i="11"/>
  <c r="I165" i="11" s="1"/>
  <c r="E165" i="11"/>
  <c r="D165" i="11"/>
  <c r="J165" i="11" s="1"/>
  <c r="B165" i="11"/>
  <c r="C165" i="11" s="1"/>
  <c r="A165" i="11"/>
  <c r="H164" i="11"/>
  <c r="G164" i="11"/>
  <c r="F164" i="11"/>
  <c r="I164" i="11" s="1"/>
  <c r="E164" i="11"/>
  <c r="D164" i="11"/>
  <c r="J164" i="11" s="1"/>
  <c r="B164" i="11"/>
  <c r="C164" i="11" s="1"/>
  <c r="A164" i="11"/>
  <c r="H163" i="11"/>
  <c r="G163" i="11"/>
  <c r="F163" i="11"/>
  <c r="I163" i="11" s="1"/>
  <c r="E163" i="11"/>
  <c r="D163" i="11"/>
  <c r="J163" i="11" s="1"/>
  <c r="B163" i="11"/>
  <c r="C163" i="11" s="1"/>
  <c r="A163" i="11"/>
  <c r="H162" i="11"/>
  <c r="G162" i="11"/>
  <c r="F162" i="11"/>
  <c r="I162" i="11" s="1"/>
  <c r="E162" i="11"/>
  <c r="D162" i="11"/>
  <c r="J162" i="11" s="1"/>
  <c r="B162" i="11"/>
  <c r="C162" i="11" s="1"/>
  <c r="A162" i="11"/>
  <c r="H161" i="11"/>
  <c r="G161" i="11"/>
  <c r="F161" i="11"/>
  <c r="I161" i="11" s="1"/>
  <c r="E161" i="11"/>
  <c r="D161" i="11"/>
  <c r="J161" i="11" s="1"/>
  <c r="B161" i="11"/>
  <c r="C161" i="11" s="1"/>
  <c r="A161" i="11"/>
  <c r="H160" i="11"/>
  <c r="G160" i="11"/>
  <c r="F160" i="11"/>
  <c r="I160" i="11" s="1"/>
  <c r="E160" i="11"/>
  <c r="D160" i="11"/>
  <c r="J160" i="11" s="1"/>
  <c r="B160" i="11"/>
  <c r="C160" i="11" s="1"/>
  <c r="A160" i="11"/>
  <c r="H159" i="11"/>
  <c r="G159" i="11"/>
  <c r="F159" i="11"/>
  <c r="I159" i="11" s="1"/>
  <c r="E159" i="11"/>
  <c r="D159" i="11"/>
  <c r="J159" i="11" s="1"/>
  <c r="B159" i="11"/>
  <c r="C159" i="11" s="1"/>
  <c r="A159" i="11"/>
  <c r="H158" i="11"/>
  <c r="G158" i="11"/>
  <c r="F158" i="11"/>
  <c r="I158" i="11" s="1"/>
  <c r="E158" i="11"/>
  <c r="D158" i="11"/>
  <c r="J158" i="11" s="1"/>
  <c r="B158" i="11"/>
  <c r="C158" i="11" s="1"/>
  <c r="A158" i="11"/>
  <c r="H157" i="11"/>
  <c r="G157" i="11"/>
  <c r="F157" i="11"/>
  <c r="I157" i="11" s="1"/>
  <c r="E157" i="11"/>
  <c r="D157" i="11"/>
  <c r="J157" i="11" s="1"/>
  <c r="B157" i="11"/>
  <c r="C157" i="11" s="1"/>
  <c r="A157" i="11"/>
  <c r="H156" i="11"/>
  <c r="G156" i="11"/>
  <c r="F156" i="11"/>
  <c r="I156" i="11" s="1"/>
  <c r="E156" i="11"/>
  <c r="D156" i="11"/>
  <c r="J156" i="11" s="1"/>
  <c r="B156" i="11"/>
  <c r="C156" i="11" s="1"/>
  <c r="A156" i="11"/>
  <c r="H155" i="11"/>
  <c r="G155" i="11"/>
  <c r="F155" i="11"/>
  <c r="I155" i="11" s="1"/>
  <c r="E155" i="11"/>
  <c r="D155" i="11"/>
  <c r="J155" i="11" s="1"/>
  <c r="B155" i="11"/>
  <c r="C155" i="11" s="1"/>
  <c r="A155" i="11"/>
  <c r="H154" i="11"/>
  <c r="G154" i="11"/>
  <c r="F154" i="11"/>
  <c r="I154" i="11" s="1"/>
  <c r="E154" i="11"/>
  <c r="D154" i="11"/>
  <c r="J154" i="11" s="1"/>
  <c r="B154" i="11"/>
  <c r="C154" i="11" s="1"/>
  <c r="A154" i="11"/>
  <c r="H153" i="11"/>
  <c r="G153" i="11"/>
  <c r="F153" i="11"/>
  <c r="I153" i="11" s="1"/>
  <c r="E153" i="11"/>
  <c r="D153" i="11"/>
  <c r="J153" i="11" s="1"/>
  <c r="B153" i="11"/>
  <c r="C153" i="11" s="1"/>
  <c r="A153" i="11"/>
  <c r="H152" i="11"/>
  <c r="G152" i="11"/>
  <c r="F152" i="11"/>
  <c r="I152" i="11" s="1"/>
  <c r="E152" i="11"/>
  <c r="D152" i="11"/>
  <c r="J152" i="11" s="1"/>
  <c r="B152" i="11"/>
  <c r="C152" i="11" s="1"/>
  <c r="A152" i="11"/>
  <c r="H151" i="11"/>
  <c r="G151" i="11"/>
  <c r="F151" i="11"/>
  <c r="I151" i="11" s="1"/>
  <c r="E151" i="11"/>
  <c r="D151" i="11"/>
  <c r="J151" i="11" s="1"/>
  <c r="B151" i="11"/>
  <c r="C151" i="11" s="1"/>
  <c r="A151" i="11"/>
  <c r="H150" i="11"/>
  <c r="G150" i="11"/>
  <c r="F150" i="11"/>
  <c r="I150" i="11" s="1"/>
  <c r="E150" i="11"/>
  <c r="D150" i="11"/>
  <c r="J150" i="11" s="1"/>
  <c r="B150" i="11"/>
  <c r="C150" i="11" s="1"/>
  <c r="A150" i="11"/>
  <c r="H149" i="11"/>
  <c r="G149" i="11"/>
  <c r="F149" i="11"/>
  <c r="I149" i="11" s="1"/>
  <c r="E149" i="11"/>
  <c r="D149" i="11"/>
  <c r="J149" i="11" s="1"/>
  <c r="B149" i="11"/>
  <c r="C149" i="11" s="1"/>
  <c r="A149" i="11"/>
  <c r="H148" i="11"/>
  <c r="G148" i="11"/>
  <c r="F148" i="11"/>
  <c r="I148" i="11" s="1"/>
  <c r="E148" i="11"/>
  <c r="D148" i="11"/>
  <c r="J148" i="11" s="1"/>
  <c r="B148" i="11"/>
  <c r="C148" i="11" s="1"/>
  <c r="A148" i="11"/>
  <c r="H147" i="11"/>
  <c r="G147" i="11"/>
  <c r="F147" i="11"/>
  <c r="I147" i="11" s="1"/>
  <c r="E147" i="11"/>
  <c r="D147" i="11"/>
  <c r="J147" i="11" s="1"/>
  <c r="B147" i="11"/>
  <c r="C147" i="11" s="1"/>
  <c r="A147" i="11"/>
  <c r="H146" i="11"/>
  <c r="G146" i="11"/>
  <c r="F146" i="11"/>
  <c r="I146" i="11" s="1"/>
  <c r="E146" i="11"/>
  <c r="D146" i="11"/>
  <c r="J146" i="11" s="1"/>
  <c r="B146" i="11"/>
  <c r="C146" i="11" s="1"/>
  <c r="A146" i="11"/>
  <c r="H145" i="11"/>
  <c r="G145" i="11"/>
  <c r="F145" i="11"/>
  <c r="I145" i="11" s="1"/>
  <c r="E145" i="11"/>
  <c r="D145" i="11"/>
  <c r="J145" i="11" s="1"/>
  <c r="B145" i="11"/>
  <c r="C145" i="11" s="1"/>
  <c r="A145" i="11"/>
  <c r="H144" i="11"/>
  <c r="G144" i="11"/>
  <c r="F144" i="11"/>
  <c r="I144" i="11" s="1"/>
  <c r="E144" i="11"/>
  <c r="D144" i="11"/>
  <c r="J144" i="11" s="1"/>
  <c r="B144" i="11"/>
  <c r="C144" i="11" s="1"/>
  <c r="A144" i="11"/>
  <c r="H143" i="11"/>
  <c r="G143" i="11"/>
  <c r="F143" i="11"/>
  <c r="I143" i="11" s="1"/>
  <c r="E143" i="11"/>
  <c r="D143" i="11"/>
  <c r="J143" i="11" s="1"/>
  <c r="B143" i="11"/>
  <c r="C143" i="11" s="1"/>
  <c r="A143" i="11"/>
  <c r="H142" i="11"/>
  <c r="G142" i="11"/>
  <c r="F142" i="11"/>
  <c r="I142" i="11" s="1"/>
  <c r="E142" i="11"/>
  <c r="D142" i="11"/>
  <c r="J142" i="11" s="1"/>
  <c r="B142" i="11"/>
  <c r="C142" i="11" s="1"/>
  <c r="A142" i="11"/>
  <c r="H141" i="11"/>
  <c r="G141" i="11"/>
  <c r="F141" i="11"/>
  <c r="I141" i="11" s="1"/>
  <c r="E141" i="11"/>
  <c r="D141" i="11"/>
  <c r="J141" i="11" s="1"/>
  <c r="B141" i="11"/>
  <c r="C141" i="11" s="1"/>
  <c r="A141" i="11"/>
  <c r="H140" i="11"/>
  <c r="G140" i="11"/>
  <c r="F140" i="11"/>
  <c r="I140" i="11" s="1"/>
  <c r="E140" i="11"/>
  <c r="D140" i="11"/>
  <c r="J140" i="11" s="1"/>
  <c r="B140" i="11"/>
  <c r="C140" i="11" s="1"/>
  <c r="A140" i="11"/>
  <c r="H139" i="11"/>
  <c r="G139" i="11"/>
  <c r="F139" i="11"/>
  <c r="I139" i="11" s="1"/>
  <c r="E139" i="11"/>
  <c r="D139" i="11"/>
  <c r="J139" i="11" s="1"/>
  <c r="B139" i="11"/>
  <c r="C139" i="11" s="1"/>
  <c r="A139" i="11"/>
  <c r="H138" i="11"/>
  <c r="G138" i="11"/>
  <c r="F138" i="11"/>
  <c r="I138" i="11" s="1"/>
  <c r="E138" i="11"/>
  <c r="D138" i="11"/>
  <c r="J138" i="11" s="1"/>
  <c r="B138" i="11"/>
  <c r="C138" i="11" s="1"/>
  <c r="A138" i="11"/>
  <c r="H137" i="11"/>
  <c r="G137" i="11"/>
  <c r="F137" i="11"/>
  <c r="I137" i="11" s="1"/>
  <c r="E137" i="11"/>
  <c r="D137" i="11"/>
  <c r="J137" i="11" s="1"/>
  <c r="B137" i="11"/>
  <c r="C137" i="11" s="1"/>
  <c r="A137" i="11"/>
  <c r="H136" i="11"/>
  <c r="G136" i="11"/>
  <c r="F136" i="11"/>
  <c r="I136" i="11" s="1"/>
  <c r="E136" i="11"/>
  <c r="D136" i="11"/>
  <c r="J136" i="11" s="1"/>
  <c r="B136" i="11"/>
  <c r="C136" i="11" s="1"/>
  <c r="A136" i="11"/>
  <c r="H135" i="11"/>
  <c r="G135" i="11"/>
  <c r="F135" i="11"/>
  <c r="I135" i="11" s="1"/>
  <c r="E135" i="11"/>
  <c r="D135" i="11"/>
  <c r="J135" i="11" s="1"/>
  <c r="B135" i="11"/>
  <c r="C135" i="11" s="1"/>
  <c r="A135" i="11"/>
  <c r="H134" i="11"/>
  <c r="G134" i="11"/>
  <c r="F134" i="11"/>
  <c r="I134" i="11" s="1"/>
  <c r="E134" i="11"/>
  <c r="D134" i="11"/>
  <c r="J134" i="11" s="1"/>
  <c r="B134" i="11"/>
  <c r="C134" i="11" s="1"/>
  <c r="A134" i="11"/>
  <c r="H133" i="11"/>
  <c r="G133" i="11"/>
  <c r="F133" i="11"/>
  <c r="I133" i="11" s="1"/>
  <c r="E133" i="11"/>
  <c r="D133" i="11"/>
  <c r="J133" i="11" s="1"/>
  <c r="B133" i="11"/>
  <c r="C133" i="11" s="1"/>
  <c r="A133" i="11"/>
  <c r="H132" i="11"/>
  <c r="G132" i="11"/>
  <c r="F132" i="11"/>
  <c r="I132" i="11" s="1"/>
  <c r="E132" i="11"/>
  <c r="D132" i="11"/>
  <c r="J132" i="11" s="1"/>
  <c r="B132" i="11"/>
  <c r="C132" i="11" s="1"/>
  <c r="A132" i="11"/>
  <c r="H131" i="11"/>
  <c r="G131" i="11"/>
  <c r="F131" i="11"/>
  <c r="I131" i="11" s="1"/>
  <c r="E131" i="11"/>
  <c r="D131" i="11"/>
  <c r="J131" i="11" s="1"/>
  <c r="B131" i="11"/>
  <c r="C131" i="11" s="1"/>
  <c r="A131" i="11"/>
  <c r="H130" i="11"/>
  <c r="G130" i="11"/>
  <c r="F130" i="11"/>
  <c r="I130" i="11" s="1"/>
  <c r="E130" i="11"/>
  <c r="D130" i="11"/>
  <c r="J130" i="11" s="1"/>
  <c r="B130" i="11"/>
  <c r="C130" i="11" s="1"/>
  <c r="A130" i="11"/>
  <c r="H129" i="11"/>
  <c r="G129" i="11"/>
  <c r="F129" i="11"/>
  <c r="I129" i="11" s="1"/>
  <c r="E129" i="11"/>
  <c r="D129" i="11"/>
  <c r="J129" i="11" s="1"/>
  <c r="B129" i="11"/>
  <c r="C129" i="11" s="1"/>
  <c r="A129" i="11"/>
  <c r="H128" i="11"/>
  <c r="G128" i="11"/>
  <c r="F128" i="11"/>
  <c r="I128" i="11" s="1"/>
  <c r="E128" i="11"/>
  <c r="D128" i="11"/>
  <c r="J128" i="11" s="1"/>
  <c r="B128" i="11"/>
  <c r="C128" i="11" s="1"/>
  <c r="A128" i="11"/>
  <c r="H127" i="11"/>
  <c r="G127" i="11"/>
  <c r="F127" i="11"/>
  <c r="I127" i="11" s="1"/>
  <c r="E127" i="11"/>
  <c r="D127" i="11"/>
  <c r="J127" i="11" s="1"/>
  <c r="B127" i="11"/>
  <c r="C127" i="11" s="1"/>
  <c r="A127" i="11"/>
  <c r="H126" i="11"/>
  <c r="G126" i="11"/>
  <c r="F126" i="11"/>
  <c r="I126" i="11" s="1"/>
  <c r="E126" i="11"/>
  <c r="D126" i="11"/>
  <c r="J126" i="11" s="1"/>
  <c r="K126" i="11" s="1"/>
  <c r="B126" i="11"/>
  <c r="C126" i="11" s="1"/>
  <c r="A126" i="11"/>
  <c r="H125" i="11"/>
  <c r="G125" i="11"/>
  <c r="F125" i="11"/>
  <c r="I125" i="11" s="1"/>
  <c r="E125" i="11"/>
  <c r="D125" i="11"/>
  <c r="J125" i="11" s="1"/>
  <c r="B125" i="11"/>
  <c r="C125" i="11" s="1"/>
  <c r="A125" i="11"/>
  <c r="H124" i="11"/>
  <c r="G124" i="11"/>
  <c r="F124" i="11"/>
  <c r="I124" i="11" s="1"/>
  <c r="E124" i="11"/>
  <c r="D124" i="11"/>
  <c r="J124" i="11" s="1"/>
  <c r="B124" i="11"/>
  <c r="C124" i="11" s="1"/>
  <c r="A124" i="11"/>
  <c r="H123" i="11"/>
  <c r="G123" i="11"/>
  <c r="F123" i="11"/>
  <c r="I123" i="11" s="1"/>
  <c r="E123" i="11"/>
  <c r="D123" i="11"/>
  <c r="J123" i="11" s="1"/>
  <c r="B123" i="11"/>
  <c r="C123" i="11" s="1"/>
  <c r="A123" i="11"/>
  <c r="H122" i="11"/>
  <c r="G122" i="11"/>
  <c r="F122" i="11"/>
  <c r="I122" i="11" s="1"/>
  <c r="E122" i="11"/>
  <c r="D122" i="11"/>
  <c r="J122" i="11" s="1"/>
  <c r="B122" i="11"/>
  <c r="C122" i="11" s="1"/>
  <c r="A122" i="11"/>
  <c r="H121" i="11"/>
  <c r="G121" i="11"/>
  <c r="F121" i="11"/>
  <c r="I121" i="11" s="1"/>
  <c r="E121" i="11"/>
  <c r="D121" i="11"/>
  <c r="J121" i="11" s="1"/>
  <c r="B121" i="11"/>
  <c r="C121" i="11" s="1"/>
  <c r="A121" i="11"/>
  <c r="H120" i="11"/>
  <c r="G120" i="11"/>
  <c r="F120" i="11"/>
  <c r="I120" i="11" s="1"/>
  <c r="E120" i="11"/>
  <c r="D120" i="11"/>
  <c r="J120" i="11" s="1"/>
  <c r="B120" i="11"/>
  <c r="C120" i="11" s="1"/>
  <c r="A120" i="11"/>
  <c r="H119" i="11"/>
  <c r="G119" i="11"/>
  <c r="F119" i="11"/>
  <c r="I119" i="11" s="1"/>
  <c r="E119" i="11"/>
  <c r="D119" i="11"/>
  <c r="J119" i="11" s="1"/>
  <c r="B119" i="11"/>
  <c r="C119" i="11" s="1"/>
  <c r="A119" i="11"/>
  <c r="H118" i="11"/>
  <c r="G118" i="11"/>
  <c r="F118" i="11"/>
  <c r="I118" i="11" s="1"/>
  <c r="E118" i="11"/>
  <c r="D118" i="11"/>
  <c r="J118" i="11" s="1"/>
  <c r="B118" i="11"/>
  <c r="C118" i="11" s="1"/>
  <c r="A118" i="11"/>
  <c r="H117" i="11"/>
  <c r="G117" i="11"/>
  <c r="F117" i="11"/>
  <c r="I117" i="11" s="1"/>
  <c r="E117" i="11"/>
  <c r="D117" i="11"/>
  <c r="J117" i="11" s="1"/>
  <c r="B117" i="11"/>
  <c r="C117" i="11" s="1"/>
  <c r="A117" i="11"/>
  <c r="H116" i="11"/>
  <c r="G116" i="11"/>
  <c r="F116" i="11"/>
  <c r="I116" i="11" s="1"/>
  <c r="E116" i="11"/>
  <c r="D116" i="11"/>
  <c r="J116" i="11" s="1"/>
  <c r="B116" i="11"/>
  <c r="C116" i="11" s="1"/>
  <c r="A116" i="11"/>
  <c r="H115" i="11"/>
  <c r="G115" i="11"/>
  <c r="F115" i="11"/>
  <c r="I115" i="11" s="1"/>
  <c r="E115" i="11"/>
  <c r="D115" i="11"/>
  <c r="J115" i="11" s="1"/>
  <c r="B115" i="11"/>
  <c r="C115" i="11" s="1"/>
  <c r="A115" i="11"/>
  <c r="H114" i="11"/>
  <c r="G114" i="11"/>
  <c r="F114" i="11"/>
  <c r="I114" i="11" s="1"/>
  <c r="E114" i="11"/>
  <c r="D114" i="11"/>
  <c r="J114" i="11" s="1"/>
  <c r="B114" i="11"/>
  <c r="C114" i="11" s="1"/>
  <c r="A114" i="11"/>
  <c r="H113" i="11"/>
  <c r="G113" i="11"/>
  <c r="F113" i="11"/>
  <c r="I113" i="11" s="1"/>
  <c r="E113" i="11"/>
  <c r="D113" i="11"/>
  <c r="J113" i="11" s="1"/>
  <c r="B113" i="11"/>
  <c r="C113" i="11" s="1"/>
  <c r="A113" i="11"/>
  <c r="H112" i="11"/>
  <c r="G112" i="11"/>
  <c r="F112" i="11"/>
  <c r="I112" i="11" s="1"/>
  <c r="E112" i="11"/>
  <c r="D112" i="11"/>
  <c r="J112" i="11" s="1"/>
  <c r="B112" i="11"/>
  <c r="C112" i="11" s="1"/>
  <c r="A112" i="11"/>
  <c r="H111" i="11"/>
  <c r="G111" i="11"/>
  <c r="F111" i="11"/>
  <c r="I111" i="11" s="1"/>
  <c r="E111" i="11"/>
  <c r="D111" i="11"/>
  <c r="J111" i="11" s="1"/>
  <c r="B111" i="11"/>
  <c r="C111" i="11" s="1"/>
  <c r="A111" i="11"/>
  <c r="H110" i="11"/>
  <c r="G110" i="11"/>
  <c r="F110" i="11"/>
  <c r="I110" i="11" s="1"/>
  <c r="E110" i="11"/>
  <c r="D110" i="11"/>
  <c r="J110" i="11" s="1"/>
  <c r="B110" i="11"/>
  <c r="C110" i="11" s="1"/>
  <c r="A110" i="11"/>
  <c r="H109" i="11"/>
  <c r="G109" i="11"/>
  <c r="F109" i="11"/>
  <c r="I109" i="11" s="1"/>
  <c r="E109" i="11"/>
  <c r="D109" i="11"/>
  <c r="J109" i="11" s="1"/>
  <c r="B109" i="11"/>
  <c r="C109" i="11" s="1"/>
  <c r="A109" i="11"/>
  <c r="H108" i="11"/>
  <c r="G108" i="11"/>
  <c r="F108" i="11"/>
  <c r="I108" i="11" s="1"/>
  <c r="E108" i="11"/>
  <c r="D108" i="11"/>
  <c r="J108" i="11" s="1"/>
  <c r="B108" i="11"/>
  <c r="C108" i="11" s="1"/>
  <c r="A108" i="11"/>
  <c r="H107" i="11"/>
  <c r="G107" i="11"/>
  <c r="F107" i="11"/>
  <c r="I107" i="11" s="1"/>
  <c r="E107" i="11"/>
  <c r="D107" i="11"/>
  <c r="J107" i="11" s="1"/>
  <c r="B107" i="11"/>
  <c r="C107" i="11" s="1"/>
  <c r="A107" i="11"/>
  <c r="H106" i="11"/>
  <c r="G106" i="11"/>
  <c r="F106" i="11"/>
  <c r="I106" i="11" s="1"/>
  <c r="E106" i="11"/>
  <c r="D106" i="11"/>
  <c r="J106" i="11" s="1"/>
  <c r="B106" i="11"/>
  <c r="C106" i="11" s="1"/>
  <c r="A106" i="11"/>
  <c r="H105" i="11"/>
  <c r="G105" i="11"/>
  <c r="F105" i="11"/>
  <c r="I105" i="11" s="1"/>
  <c r="E105" i="11"/>
  <c r="D105" i="11"/>
  <c r="J105" i="11" s="1"/>
  <c r="B105" i="11"/>
  <c r="C105" i="11" s="1"/>
  <c r="A105" i="11"/>
  <c r="H104" i="11"/>
  <c r="G104" i="11"/>
  <c r="F104" i="11"/>
  <c r="I104" i="11" s="1"/>
  <c r="E104" i="11"/>
  <c r="D104" i="11"/>
  <c r="J104" i="11" s="1"/>
  <c r="B104" i="11"/>
  <c r="C104" i="11" s="1"/>
  <c r="A104" i="11"/>
  <c r="H103" i="11"/>
  <c r="G103" i="11"/>
  <c r="F103" i="11"/>
  <c r="I103" i="11" s="1"/>
  <c r="E103" i="11"/>
  <c r="D103" i="11"/>
  <c r="J103" i="11" s="1"/>
  <c r="B103" i="11"/>
  <c r="C103" i="11" s="1"/>
  <c r="A103" i="11"/>
  <c r="H102" i="11"/>
  <c r="G102" i="11"/>
  <c r="F102" i="11"/>
  <c r="I102" i="11" s="1"/>
  <c r="E102" i="11"/>
  <c r="D102" i="11"/>
  <c r="J102" i="11" s="1"/>
  <c r="B102" i="11"/>
  <c r="C102" i="11" s="1"/>
  <c r="A102" i="11"/>
  <c r="H101" i="11"/>
  <c r="G101" i="11"/>
  <c r="F101" i="11"/>
  <c r="I101" i="11" s="1"/>
  <c r="E101" i="11"/>
  <c r="D101" i="11"/>
  <c r="J101" i="11" s="1"/>
  <c r="B101" i="11"/>
  <c r="C101" i="11" s="1"/>
  <c r="A101" i="11"/>
  <c r="H100" i="11"/>
  <c r="G100" i="11"/>
  <c r="F100" i="11"/>
  <c r="I100" i="11" s="1"/>
  <c r="E100" i="11"/>
  <c r="D100" i="11"/>
  <c r="J100" i="11" s="1"/>
  <c r="B100" i="11"/>
  <c r="C100" i="11" s="1"/>
  <c r="A100" i="11"/>
  <c r="H99" i="11"/>
  <c r="G99" i="11"/>
  <c r="F99" i="11"/>
  <c r="I99" i="11" s="1"/>
  <c r="E99" i="11"/>
  <c r="D99" i="11"/>
  <c r="J99" i="11" s="1"/>
  <c r="B99" i="11"/>
  <c r="C99" i="11" s="1"/>
  <c r="A99" i="11"/>
  <c r="H98" i="11"/>
  <c r="G98" i="11"/>
  <c r="F98" i="11"/>
  <c r="I98" i="11" s="1"/>
  <c r="E98" i="11"/>
  <c r="D98" i="11"/>
  <c r="J98" i="11" s="1"/>
  <c r="B98" i="11"/>
  <c r="C98" i="11" s="1"/>
  <c r="A98" i="11"/>
  <c r="H97" i="11"/>
  <c r="G97" i="11"/>
  <c r="F97" i="11"/>
  <c r="I97" i="11" s="1"/>
  <c r="E97" i="11"/>
  <c r="D97" i="11"/>
  <c r="J97" i="11" s="1"/>
  <c r="B97" i="11"/>
  <c r="C97" i="11" s="1"/>
  <c r="A97" i="11"/>
  <c r="H96" i="11"/>
  <c r="G96" i="11"/>
  <c r="F96" i="11"/>
  <c r="I96" i="11" s="1"/>
  <c r="E96" i="11"/>
  <c r="D96" i="11"/>
  <c r="J96" i="11" s="1"/>
  <c r="B96" i="11"/>
  <c r="C96" i="11" s="1"/>
  <c r="A96" i="11"/>
  <c r="H95" i="11"/>
  <c r="G95" i="11"/>
  <c r="F95" i="11"/>
  <c r="I95" i="11" s="1"/>
  <c r="E95" i="11"/>
  <c r="D95" i="11"/>
  <c r="J95" i="11" s="1"/>
  <c r="B95" i="11"/>
  <c r="C95" i="11" s="1"/>
  <c r="A95" i="11"/>
  <c r="H94" i="11"/>
  <c r="G94" i="11"/>
  <c r="F94" i="11"/>
  <c r="I94" i="11" s="1"/>
  <c r="E94" i="11"/>
  <c r="D94" i="11"/>
  <c r="J94" i="11" s="1"/>
  <c r="B94" i="11"/>
  <c r="C94" i="11" s="1"/>
  <c r="A94" i="11"/>
  <c r="H93" i="11"/>
  <c r="G93" i="11"/>
  <c r="F93" i="11"/>
  <c r="I93" i="11" s="1"/>
  <c r="E93" i="11"/>
  <c r="D93" i="11"/>
  <c r="J93" i="11" s="1"/>
  <c r="B93" i="11"/>
  <c r="C93" i="11" s="1"/>
  <c r="A93" i="11"/>
  <c r="H92" i="11"/>
  <c r="G92" i="11"/>
  <c r="F92" i="11"/>
  <c r="I92" i="11" s="1"/>
  <c r="E92" i="11"/>
  <c r="D92" i="11"/>
  <c r="J92" i="11" s="1"/>
  <c r="B92" i="11"/>
  <c r="C92" i="11" s="1"/>
  <c r="A92" i="11"/>
  <c r="H91" i="11"/>
  <c r="G91" i="11"/>
  <c r="F91" i="11"/>
  <c r="I91" i="11" s="1"/>
  <c r="E91" i="11"/>
  <c r="D91" i="11"/>
  <c r="J91" i="11" s="1"/>
  <c r="B91" i="11"/>
  <c r="C91" i="11" s="1"/>
  <c r="A91" i="11"/>
  <c r="H90" i="11"/>
  <c r="G90" i="11"/>
  <c r="F90" i="11"/>
  <c r="I90" i="11" s="1"/>
  <c r="E90" i="11"/>
  <c r="D90" i="11"/>
  <c r="J90" i="11" s="1"/>
  <c r="B90" i="11"/>
  <c r="C90" i="11" s="1"/>
  <c r="A90" i="11"/>
  <c r="H89" i="11"/>
  <c r="G89" i="11"/>
  <c r="F89" i="11"/>
  <c r="I89" i="11" s="1"/>
  <c r="E89" i="11"/>
  <c r="D89" i="11"/>
  <c r="J89" i="11" s="1"/>
  <c r="B89" i="11"/>
  <c r="C89" i="11" s="1"/>
  <c r="A89" i="11"/>
  <c r="H88" i="11"/>
  <c r="G88" i="11"/>
  <c r="F88" i="11"/>
  <c r="I88" i="11" s="1"/>
  <c r="E88" i="11"/>
  <c r="D88" i="11"/>
  <c r="J88" i="11" s="1"/>
  <c r="B88" i="11"/>
  <c r="C88" i="11" s="1"/>
  <c r="A88" i="11"/>
  <c r="H87" i="11"/>
  <c r="G87" i="11"/>
  <c r="F87" i="11"/>
  <c r="I87" i="11" s="1"/>
  <c r="E87" i="11"/>
  <c r="D87" i="11"/>
  <c r="J87" i="11" s="1"/>
  <c r="B87" i="11"/>
  <c r="C87" i="11" s="1"/>
  <c r="A87" i="11"/>
  <c r="H86" i="11"/>
  <c r="G86" i="11"/>
  <c r="F86" i="11"/>
  <c r="I86" i="11" s="1"/>
  <c r="E86" i="11"/>
  <c r="D86" i="11"/>
  <c r="J86" i="11" s="1"/>
  <c r="B86" i="11"/>
  <c r="C86" i="11" s="1"/>
  <c r="A86" i="11"/>
  <c r="H85" i="11"/>
  <c r="G85" i="11"/>
  <c r="F85" i="11"/>
  <c r="I85" i="11" s="1"/>
  <c r="E85" i="11"/>
  <c r="D85" i="11"/>
  <c r="J85" i="11" s="1"/>
  <c r="B85" i="11"/>
  <c r="C85" i="11" s="1"/>
  <c r="A85" i="11"/>
  <c r="H84" i="11"/>
  <c r="G84" i="11"/>
  <c r="F84" i="11"/>
  <c r="I84" i="11" s="1"/>
  <c r="E84" i="11"/>
  <c r="D84" i="11"/>
  <c r="J84" i="11" s="1"/>
  <c r="B84" i="11"/>
  <c r="C84" i="11" s="1"/>
  <c r="A84" i="11"/>
  <c r="H83" i="11"/>
  <c r="G83" i="11"/>
  <c r="F83" i="11"/>
  <c r="I83" i="11" s="1"/>
  <c r="E83" i="11"/>
  <c r="D83" i="11"/>
  <c r="J83" i="11" s="1"/>
  <c r="B83" i="11"/>
  <c r="C83" i="11" s="1"/>
  <c r="A83" i="11"/>
  <c r="H82" i="11"/>
  <c r="G82" i="11"/>
  <c r="F82" i="11"/>
  <c r="I82" i="11" s="1"/>
  <c r="E82" i="11"/>
  <c r="D82" i="11"/>
  <c r="J82" i="11" s="1"/>
  <c r="B82" i="11"/>
  <c r="C82" i="11" s="1"/>
  <c r="A82" i="11"/>
  <c r="H81" i="11"/>
  <c r="G81" i="11"/>
  <c r="F81" i="11"/>
  <c r="I81" i="11" s="1"/>
  <c r="E81" i="11"/>
  <c r="D81" i="11"/>
  <c r="J81" i="11" s="1"/>
  <c r="B81" i="11"/>
  <c r="C81" i="11" s="1"/>
  <c r="A81" i="11"/>
  <c r="H80" i="11"/>
  <c r="G80" i="11"/>
  <c r="F80" i="11"/>
  <c r="I80" i="11" s="1"/>
  <c r="E80" i="11"/>
  <c r="D80" i="11"/>
  <c r="J80" i="11" s="1"/>
  <c r="B80" i="11"/>
  <c r="C80" i="11" s="1"/>
  <c r="A80" i="11"/>
  <c r="H79" i="11"/>
  <c r="G79" i="11"/>
  <c r="F79" i="11"/>
  <c r="I79" i="11" s="1"/>
  <c r="E79" i="11"/>
  <c r="D79" i="11"/>
  <c r="J79" i="11" s="1"/>
  <c r="B79" i="11"/>
  <c r="C79" i="11" s="1"/>
  <c r="A79" i="11"/>
  <c r="H78" i="11"/>
  <c r="G78" i="11"/>
  <c r="F78" i="11"/>
  <c r="I78" i="11" s="1"/>
  <c r="E78" i="11"/>
  <c r="D78" i="11"/>
  <c r="J78" i="11" s="1"/>
  <c r="B78" i="11"/>
  <c r="C78" i="11" s="1"/>
  <c r="A78" i="11"/>
  <c r="H77" i="11"/>
  <c r="G77" i="11"/>
  <c r="F77" i="11"/>
  <c r="I77" i="11" s="1"/>
  <c r="E77" i="11"/>
  <c r="D77" i="11"/>
  <c r="J77" i="11" s="1"/>
  <c r="B77" i="11"/>
  <c r="C77" i="11" s="1"/>
  <c r="A77" i="11"/>
  <c r="H76" i="11"/>
  <c r="G76" i="11"/>
  <c r="F76" i="11"/>
  <c r="I76" i="11" s="1"/>
  <c r="E76" i="11"/>
  <c r="D76" i="11"/>
  <c r="J76" i="11" s="1"/>
  <c r="B76" i="11"/>
  <c r="C76" i="11" s="1"/>
  <c r="A76" i="11"/>
  <c r="H75" i="11"/>
  <c r="G75" i="11"/>
  <c r="F75" i="11"/>
  <c r="I75" i="11" s="1"/>
  <c r="E75" i="11"/>
  <c r="D75" i="11"/>
  <c r="J75" i="11" s="1"/>
  <c r="B75" i="11"/>
  <c r="C75" i="11" s="1"/>
  <c r="A75" i="11"/>
  <c r="H74" i="11"/>
  <c r="G74" i="11"/>
  <c r="F74" i="11"/>
  <c r="I74" i="11" s="1"/>
  <c r="E74" i="11"/>
  <c r="D74" i="11"/>
  <c r="J74" i="11" s="1"/>
  <c r="B74" i="11"/>
  <c r="C74" i="11" s="1"/>
  <c r="A74" i="11"/>
  <c r="H73" i="11"/>
  <c r="G73" i="11"/>
  <c r="F73" i="11"/>
  <c r="I73" i="11" s="1"/>
  <c r="E73" i="11"/>
  <c r="D73" i="11"/>
  <c r="J73" i="11" s="1"/>
  <c r="B73" i="11"/>
  <c r="C73" i="11" s="1"/>
  <c r="A73" i="11"/>
  <c r="H72" i="11"/>
  <c r="G72" i="11"/>
  <c r="F72" i="11"/>
  <c r="I72" i="11" s="1"/>
  <c r="E72" i="11"/>
  <c r="D72" i="11"/>
  <c r="J72" i="11" s="1"/>
  <c r="B72" i="11"/>
  <c r="C72" i="11" s="1"/>
  <c r="A72" i="11"/>
  <c r="H71" i="11"/>
  <c r="G71" i="11"/>
  <c r="F71" i="11"/>
  <c r="I71" i="11" s="1"/>
  <c r="E71" i="11"/>
  <c r="D71" i="11"/>
  <c r="J71" i="11" s="1"/>
  <c r="O71" i="11" s="1"/>
  <c r="B71" i="11"/>
  <c r="C71" i="11" s="1"/>
  <c r="A71" i="11"/>
  <c r="H70" i="11"/>
  <c r="G70" i="11"/>
  <c r="F70" i="11"/>
  <c r="I70" i="11" s="1"/>
  <c r="E70" i="11"/>
  <c r="D70" i="11"/>
  <c r="J70" i="11" s="1"/>
  <c r="B70" i="11"/>
  <c r="C70" i="11" s="1"/>
  <c r="A70" i="11"/>
  <c r="H69" i="11"/>
  <c r="G69" i="11"/>
  <c r="F69" i="11"/>
  <c r="I69" i="11" s="1"/>
  <c r="E69" i="11"/>
  <c r="D69" i="11"/>
  <c r="J69" i="11" s="1"/>
  <c r="B69" i="11"/>
  <c r="C69" i="11" s="1"/>
  <c r="A69" i="11"/>
  <c r="H68" i="11"/>
  <c r="G68" i="11"/>
  <c r="F68" i="11"/>
  <c r="I68" i="11" s="1"/>
  <c r="E68" i="11"/>
  <c r="D68" i="11"/>
  <c r="J68" i="11" s="1"/>
  <c r="B68" i="11"/>
  <c r="C68" i="11" s="1"/>
  <c r="A68" i="11"/>
  <c r="H67" i="11"/>
  <c r="G67" i="11"/>
  <c r="F67" i="11"/>
  <c r="I67" i="11" s="1"/>
  <c r="E67" i="11"/>
  <c r="D67" i="11"/>
  <c r="J67" i="11" s="1"/>
  <c r="B67" i="11"/>
  <c r="C67" i="11" s="1"/>
  <c r="A67" i="11"/>
  <c r="H66" i="11"/>
  <c r="G66" i="11"/>
  <c r="F66" i="11"/>
  <c r="I66" i="11" s="1"/>
  <c r="E66" i="11"/>
  <c r="D66" i="11"/>
  <c r="J66" i="11" s="1"/>
  <c r="B66" i="11"/>
  <c r="C66" i="11" s="1"/>
  <c r="A66" i="11"/>
  <c r="H65" i="11"/>
  <c r="G65" i="11"/>
  <c r="F65" i="11"/>
  <c r="I65" i="11" s="1"/>
  <c r="E65" i="11"/>
  <c r="D65" i="11"/>
  <c r="J65" i="11" s="1"/>
  <c r="B65" i="11"/>
  <c r="C65" i="11" s="1"/>
  <c r="A65" i="11"/>
  <c r="H64" i="11"/>
  <c r="G64" i="11"/>
  <c r="F64" i="11"/>
  <c r="I64" i="11" s="1"/>
  <c r="E64" i="11"/>
  <c r="D64" i="11"/>
  <c r="J64" i="11" s="1"/>
  <c r="B64" i="11"/>
  <c r="C64" i="11" s="1"/>
  <c r="A64" i="11"/>
  <c r="H63" i="11"/>
  <c r="G63" i="11"/>
  <c r="F63" i="11"/>
  <c r="I63" i="11" s="1"/>
  <c r="E63" i="11"/>
  <c r="D63" i="11"/>
  <c r="J63" i="11" s="1"/>
  <c r="B63" i="11"/>
  <c r="C63" i="11" s="1"/>
  <c r="A63" i="11"/>
  <c r="H62" i="11"/>
  <c r="G62" i="11"/>
  <c r="F62" i="11"/>
  <c r="I62" i="11" s="1"/>
  <c r="E62" i="11"/>
  <c r="D62" i="11"/>
  <c r="J62" i="11" s="1"/>
  <c r="B62" i="11"/>
  <c r="C62" i="11" s="1"/>
  <c r="A62" i="11"/>
  <c r="H61" i="11"/>
  <c r="G61" i="11"/>
  <c r="F61" i="11"/>
  <c r="I61" i="11" s="1"/>
  <c r="E61" i="11"/>
  <c r="D61" i="11"/>
  <c r="J61" i="11" s="1"/>
  <c r="B61" i="11"/>
  <c r="C61" i="11" s="1"/>
  <c r="A61" i="11"/>
  <c r="H60" i="11"/>
  <c r="G60" i="11"/>
  <c r="F60" i="11"/>
  <c r="I60" i="11" s="1"/>
  <c r="E60" i="11"/>
  <c r="D60" i="11"/>
  <c r="J60" i="11" s="1"/>
  <c r="B60" i="11"/>
  <c r="C60" i="11" s="1"/>
  <c r="A60" i="11"/>
  <c r="H59" i="11"/>
  <c r="G59" i="11"/>
  <c r="F59" i="11"/>
  <c r="I59" i="11" s="1"/>
  <c r="E59" i="11"/>
  <c r="D59" i="11"/>
  <c r="J59" i="11" s="1"/>
  <c r="B59" i="11"/>
  <c r="C59" i="11" s="1"/>
  <c r="A59" i="11"/>
  <c r="H58" i="11"/>
  <c r="G58" i="11"/>
  <c r="F58" i="11"/>
  <c r="I58" i="11" s="1"/>
  <c r="E58" i="11"/>
  <c r="D58" i="11"/>
  <c r="J58" i="11" s="1"/>
  <c r="B58" i="11"/>
  <c r="C58" i="11" s="1"/>
  <c r="A58" i="11"/>
  <c r="H57" i="11"/>
  <c r="G57" i="11"/>
  <c r="F57" i="11"/>
  <c r="I57" i="11" s="1"/>
  <c r="E57" i="11"/>
  <c r="D57" i="11"/>
  <c r="J57" i="11" s="1"/>
  <c r="B57" i="11"/>
  <c r="C57" i="11" s="1"/>
  <c r="A57" i="11"/>
  <c r="H56" i="11"/>
  <c r="G56" i="11"/>
  <c r="F56" i="11"/>
  <c r="I56" i="11" s="1"/>
  <c r="E56" i="11"/>
  <c r="D56" i="11"/>
  <c r="J56" i="11" s="1"/>
  <c r="B56" i="11"/>
  <c r="C56" i="11" s="1"/>
  <c r="A56" i="11"/>
  <c r="H55" i="11"/>
  <c r="G55" i="11"/>
  <c r="F55" i="11"/>
  <c r="I55" i="11" s="1"/>
  <c r="E55" i="11"/>
  <c r="D55" i="11"/>
  <c r="J55" i="11" s="1"/>
  <c r="B55" i="11"/>
  <c r="C55" i="11" s="1"/>
  <c r="A55" i="11"/>
  <c r="H54" i="11"/>
  <c r="G54" i="11"/>
  <c r="F54" i="11"/>
  <c r="I54" i="11" s="1"/>
  <c r="E54" i="11"/>
  <c r="D54" i="11"/>
  <c r="J54" i="11" s="1"/>
  <c r="B54" i="11"/>
  <c r="C54" i="11" s="1"/>
  <c r="A54" i="11"/>
  <c r="H53" i="11"/>
  <c r="G53" i="11"/>
  <c r="F53" i="11"/>
  <c r="I53" i="11" s="1"/>
  <c r="E53" i="11"/>
  <c r="D53" i="11"/>
  <c r="J53" i="11" s="1"/>
  <c r="B53" i="11"/>
  <c r="C53" i="11" s="1"/>
  <c r="A53" i="11"/>
  <c r="H52" i="11"/>
  <c r="G52" i="11"/>
  <c r="F52" i="11"/>
  <c r="I52" i="11" s="1"/>
  <c r="E52" i="11"/>
  <c r="D52" i="11"/>
  <c r="J52" i="11" s="1"/>
  <c r="B52" i="11"/>
  <c r="C52" i="11" s="1"/>
  <c r="A52" i="11"/>
  <c r="H51" i="11"/>
  <c r="G51" i="11"/>
  <c r="F51" i="11"/>
  <c r="I51" i="11" s="1"/>
  <c r="E51" i="11"/>
  <c r="D51" i="11"/>
  <c r="J51" i="11" s="1"/>
  <c r="B51" i="11"/>
  <c r="C51" i="11" s="1"/>
  <c r="A51" i="11"/>
  <c r="H50" i="11"/>
  <c r="G50" i="11"/>
  <c r="F50" i="11"/>
  <c r="I50" i="11" s="1"/>
  <c r="E50" i="11"/>
  <c r="D50" i="11"/>
  <c r="J50" i="11" s="1"/>
  <c r="B50" i="11"/>
  <c r="C50" i="11" s="1"/>
  <c r="A50" i="11"/>
  <c r="H49" i="11"/>
  <c r="G49" i="11"/>
  <c r="F49" i="11"/>
  <c r="I49" i="11" s="1"/>
  <c r="E49" i="11"/>
  <c r="D49" i="11"/>
  <c r="J49" i="11" s="1"/>
  <c r="B49" i="11"/>
  <c r="C49" i="11" s="1"/>
  <c r="A49" i="11"/>
  <c r="H48" i="11"/>
  <c r="G48" i="11"/>
  <c r="F48" i="11"/>
  <c r="I48" i="11" s="1"/>
  <c r="E48" i="11"/>
  <c r="D48" i="11"/>
  <c r="J48" i="11" s="1"/>
  <c r="B48" i="11"/>
  <c r="C48" i="11" s="1"/>
  <c r="A48" i="11"/>
  <c r="H47" i="11"/>
  <c r="G47" i="11"/>
  <c r="F47" i="11"/>
  <c r="I47" i="11" s="1"/>
  <c r="E47" i="11"/>
  <c r="D47" i="11"/>
  <c r="J47" i="11" s="1"/>
  <c r="B47" i="11"/>
  <c r="C47" i="11" s="1"/>
  <c r="A47" i="11"/>
  <c r="H46" i="11"/>
  <c r="G46" i="11"/>
  <c r="F46" i="11"/>
  <c r="I46" i="11" s="1"/>
  <c r="E46" i="11"/>
  <c r="D46" i="11"/>
  <c r="J46" i="11" s="1"/>
  <c r="B46" i="11"/>
  <c r="C46" i="11" s="1"/>
  <c r="A46" i="11"/>
  <c r="H45" i="11"/>
  <c r="G45" i="11"/>
  <c r="F45" i="11"/>
  <c r="I45" i="11" s="1"/>
  <c r="E45" i="11"/>
  <c r="D45" i="11"/>
  <c r="J45" i="11" s="1"/>
  <c r="B45" i="11"/>
  <c r="C45" i="11" s="1"/>
  <c r="A45" i="11"/>
  <c r="H44" i="11"/>
  <c r="G44" i="11"/>
  <c r="F44" i="11"/>
  <c r="I44" i="11" s="1"/>
  <c r="E44" i="11"/>
  <c r="D44" i="11"/>
  <c r="J44" i="11" s="1"/>
  <c r="B44" i="11"/>
  <c r="C44" i="11" s="1"/>
  <c r="A44" i="11"/>
  <c r="H43" i="11"/>
  <c r="G43" i="11"/>
  <c r="F43" i="11"/>
  <c r="I43" i="11" s="1"/>
  <c r="E43" i="11"/>
  <c r="D43" i="11"/>
  <c r="J43" i="11" s="1"/>
  <c r="B43" i="11"/>
  <c r="C43" i="11" s="1"/>
  <c r="A43" i="11"/>
  <c r="H42" i="11"/>
  <c r="G42" i="11"/>
  <c r="F42" i="11"/>
  <c r="I42" i="11" s="1"/>
  <c r="E42" i="11"/>
  <c r="D42" i="11"/>
  <c r="J42" i="11" s="1"/>
  <c r="B42" i="11"/>
  <c r="C42" i="11" s="1"/>
  <c r="A42" i="11"/>
  <c r="H41" i="11"/>
  <c r="G41" i="11"/>
  <c r="F41" i="11"/>
  <c r="I41" i="11" s="1"/>
  <c r="E41" i="11"/>
  <c r="D41" i="11"/>
  <c r="J41" i="11" s="1"/>
  <c r="B41" i="11"/>
  <c r="C41" i="11" s="1"/>
  <c r="A41" i="11"/>
  <c r="H40" i="11"/>
  <c r="G40" i="11"/>
  <c r="F40" i="11"/>
  <c r="I40" i="11" s="1"/>
  <c r="E40" i="11"/>
  <c r="D40" i="11"/>
  <c r="J40" i="11" s="1"/>
  <c r="B40" i="11"/>
  <c r="C40" i="11" s="1"/>
  <c r="A40" i="11"/>
  <c r="H39" i="11"/>
  <c r="G39" i="11"/>
  <c r="F39" i="11"/>
  <c r="I39" i="11" s="1"/>
  <c r="E39" i="11"/>
  <c r="D39" i="11"/>
  <c r="J39" i="11" s="1"/>
  <c r="B39" i="11"/>
  <c r="C39" i="11" s="1"/>
  <c r="A39" i="11"/>
  <c r="H38" i="11"/>
  <c r="G38" i="11"/>
  <c r="F38" i="11"/>
  <c r="I38" i="11" s="1"/>
  <c r="E38" i="11"/>
  <c r="D38" i="11"/>
  <c r="J38" i="11" s="1"/>
  <c r="B38" i="11"/>
  <c r="C38" i="11" s="1"/>
  <c r="A38" i="11"/>
  <c r="H37" i="11"/>
  <c r="G37" i="11"/>
  <c r="F37" i="11"/>
  <c r="I37" i="11" s="1"/>
  <c r="E37" i="11"/>
  <c r="D37" i="11"/>
  <c r="J37" i="11" s="1"/>
  <c r="B37" i="11"/>
  <c r="C37" i="11" s="1"/>
  <c r="A37" i="11"/>
  <c r="H36" i="11"/>
  <c r="G36" i="11"/>
  <c r="F36" i="11"/>
  <c r="I36" i="11" s="1"/>
  <c r="E36" i="11"/>
  <c r="D36" i="11"/>
  <c r="J36" i="11" s="1"/>
  <c r="B36" i="11"/>
  <c r="C36" i="11" s="1"/>
  <c r="A36" i="11"/>
  <c r="H35" i="11"/>
  <c r="G35" i="11"/>
  <c r="F35" i="11"/>
  <c r="I35" i="11" s="1"/>
  <c r="E35" i="11"/>
  <c r="D35" i="11"/>
  <c r="J35" i="11" s="1"/>
  <c r="B35" i="11"/>
  <c r="C35" i="11" s="1"/>
  <c r="A35" i="11"/>
  <c r="H34" i="11"/>
  <c r="G34" i="11"/>
  <c r="F34" i="11"/>
  <c r="I34" i="11" s="1"/>
  <c r="E34" i="11"/>
  <c r="D34" i="11"/>
  <c r="J34" i="11" s="1"/>
  <c r="B34" i="11"/>
  <c r="C34" i="11" s="1"/>
  <c r="A34" i="11"/>
  <c r="H33" i="11"/>
  <c r="G33" i="11"/>
  <c r="F33" i="11"/>
  <c r="I33" i="11" s="1"/>
  <c r="E33" i="11"/>
  <c r="D33" i="11"/>
  <c r="J33" i="11" s="1"/>
  <c r="B33" i="11"/>
  <c r="C33" i="11" s="1"/>
  <c r="A33" i="11"/>
  <c r="H32" i="11"/>
  <c r="G32" i="11"/>
  <c r="F32" i="11"/>
  <c r="I32" i="11" s="1"/>
  <c r="E32" i="11"/>
  <c r="D32" i="11"/>
  <c r="J32" i="11" s="1"/>
  <c r="B32" i="11"/>
  <c r="C32" i="11" s="1"/>
  <c r="A32" i="11"/>
  <c r="H31" i="11"/>
  <c r="G31" i="11"/>
  <c r="F31" i="11"/>
  <c r="I31" i="11" s="1"/>
  <c r="E31" i="11"/>
  <c r="D31" i="11"/>
  <c r="J31" i="11" s="1"/>
  <c r="B31" i="11"/>
  <c r="C31" i="11" s="1"/>
  <c r="A31" i="11"/>
  <c r="H30" i="11"/>
  <c r="G30" i="11"/>
  <c r="F30" i="11"/>
  <c r="I30" i="11" s="1"/>
  <c r="E30" i="11"/>
  <c r="D30" i="11"/>
  <c r="B30" i="11"/>
  <c r="C30" i="11" s="1"/>
  <c r="A30" i="11"/>
  <c r="H29" i="11"/>
  <c r="G29" i="11"/>
  <c r="F29" i="11"/>
  <c r="I29" i="11" s="1"/>
  <c r="E29" i="11"/>
  <c r="D29" i="11"/>
  <c r="J29" i="11" s="1"/>
  <c r="B29" i="11"/>
  <c r="C29" i="11" s="1"/>
  <c r="A29" i="11"/>
  <c r="H28" i="11"/>
  <c r="G28" i="11"/>
  <c r="F28" i="11"/>
  <c r="I28" i="11" s="1"/>
  <c r="E28" i="11"/>
  <c r="D28" i="11"/>
  <c r="J28" i="11" s="1"/>
  <c r="B28" i="11"/>
  <c r="C28" i="11" s="1"/>
  <c r="A28" i="11"/>
  <c r="H27" i="11"/>
  <c r="G27" i="11"/>
  <c r="F27" i="11"/>
  <c r="I27" i="11" s="1"/>
  <c r="E27" i="11"/>
  <c r="D27" i="11"/>
  <c r="J27" i="11" s="1"/>
  <c r="B27" i="11"/>
  <c r="C27" i="11" s="1"/>
  <c r="A27" i="11"/>
  <c r="H26" i="11"/>
  <c r="G26" i="11"/>
  <c r="F26" i="11"/>
  <c r="I26" i="11" s="1"/>
  <c r="E26" i="11"/>
  <c r="D26" i="11"/>
  <c r="J26" i="11" s="1"/>
  <c r="B26" i="11"/>
  <c r="C26" i="11" s="1"/>
  <c r="A26" i="11"/>
  <c r="H25" i="11"/>
  <c r="G25" i="11"/>
  <c r="F25" i="11"/>
  <c r="I25" i="11" s="1"/>
  <c r="E25" i="11"/>
  <c r="D25" i="11"/>
  <c r="J25" i="11" s="1"/>
  <c r="B25" i="11"/>
  <c r="C25" i="11" s="1"/>
  <c r="A25" i="11"/>
  <c r="H24" i="11"/>
  <c r="G24" i="11"/>
  <c r="F24" i="11"/>
  <c r="I24" i="11" s="1"/>
  <c r="E24" i="11"/>
  <c r="D24" i="11"/>
  <c r="B24" i="11"/>
  <c r="C24" i="11" s="1"/>
  <c r="A24" i="11"/>
  <c r="H23" i="11"/>
  <c r="G23" i="11"/>
  <c r="F23" i="11"/>
  <c r="I23" i="11" s="1"/>
  <c r="E23" i="11"/>
  <c r="D23" i="11"/>
  <c r="J23" i="11" s="1"/>
  <c r="B23" i="11"/>
  <c r="C23" i="11" s="1"/>
  <c r="A23" i="11"/>
  <c r="H22" i="11"/>
  <c r="G22" i="11"/>
  <c r="F22" i="11"/>
  <c r="I22" i="11" s="1"/>
  <c r="E22" i="11"/>
  <c r="D22" i="11"/>
  <c r="J22" i="11" s="1"/>
  <c r="B22" i="11"/>
  <c r="C22" i="11" s="1"/>
  <c r="A22" i="11"/>
  <c r="H21" i="11"/>
  <c r="G21" i="11"/>
  <c r="F21" i="11"/>
  <c r="I21" i="11" s="1"/>
  <c r="E21" i="11"/>
  <c r="D21" i="11"/>
  <c r="J21" i="11" s="1"/>
  <c r="B21" i="11"/>
  <c r="C21" i="11" s="1"/>
  <c r="A21" i="11"/>
  <c r="H20" i="11"/>
  <c r="G20" i="11"/>
  <c r="F20" i="11"/>
  <c r="I20" i="11" s="1"/>
  <c r="E20" i="11"/>
  <c r="D20" i="11"/>
  <c r="J20" i="11" s="1"/>
  <c r="B20" i="11"/>
  <c r="C20" i="11" s="1"/>
  <c r="A20" i="11"/>
  <c r="H19" i="11"/>
  <c r="G19" i="11"/>
  <c r="F19" i="11"/>
  <c r="I19" i="11" s="1"/>
  <c r="E19" i="11"/>
  <c r="D19" i="11"/>
  <c r="B19" i="11"/>
  <c r="C19" i="11" s="1"/>
  <c r="A19" i="11"/>
  <c r="H18" i="11"/>
  <c r="G18" i="11"/>
  <c r="F18" i="11"/>
  <c r="I18" i="11" s="1"/>
  <c r="E18" i="11"/>
  <c r="D18" i="11"/>
  <c r="J18" i="11" s="1"/>
  <c r="B18" i="11"/>
  <c r="C18" i="11" s="1"/>
  <c r="A18" i="11"/>
  <c r="H17" i="11"/>
  <c r="G17" i="11"/>
  <c r="F17" i="11"/>
  <c r="I17" i="11" s="1"/>
  <c r="E17" i="11"/>
  <c r="D17" i="11"/>
  <c r="J17" i="11" s="1"/>
  <c r="B17" i="11"/>
  <c r="C17" i="11" s="1"/>
  <c r="A17" i="11"/>
  <c r="H16" i="11"/>
  <c r="G16" i="11"/>
  <c r="F16" i="11"/>
  <c r="I16" i="11" s="1"/>
  <c r="E16" i="11"/>
  <c r="D16" i="11"/>
  <c r="J16" i="11" s="1"/>
  <c r="B16" i="11"/>
  <c r="C16" i="11" s="1"/>
  <c r="A16" i="11"/>
  <c r="H15" i="11"/>
  <c r="G15" i="11"/>
  <c r="F15" i="11"/>
  <c r="I15" i="11" s="1"/>
  <c r="E15" i="11"/>
  <c r="D15" i="11"/>
  <c r="J15" i="11" s="1"/>
  <c r="B15" i="11"/>
  <c r="C15" i="11" s="1"/>
  <c r="A15" i="11"/>
  <c r="H14" i="11"/>
  <c r="G14" i="11"/>
  <c r="F14" i="11"/>
  <c r="I14" i="11" s="1"/>
  <c r="E14" i="11"/>
  <c r="D14" i="11"/>
  <c r="J14" i="11" s="1"/>
  <c r="B14" i="11"/>
  <c r="C14" i="11" s="1"/>
  <c r="A14" i="11"/>
  <c r="H13" i="11"/>
  <c r="G13" i="11"/>
  <c r="F13" i="11"/>
  <c r="I13" i="11" s="1"/>
  <c r="E13" i="11"/>
  <c r="D13" i="11"/>
  <c r="J13" i="11" s="1"/>
  <c r="B13" i="11"/>
  <c r="C13" i="11" s="1"/>
  <c r="A13" i="11"/>
  <c r="H12" i="11"/>
  <c r="G12" i="11"/>
  <c r="F12" i="11"/>
  <c r="I12" i="11" s="1"/>
  <c r="E12" i="11"/>
  <c r="D12" i="11"/>
  <c r="B12" i="11"/>
  <c r="C12" i="11" s="1"/>
  <c r="A12" i="11"/>
  <c r="H11" i="11"/>
  <c r="G11" i="11"/>
  <c r="F11" i="11"/>
  <c r="I11" i="11" s="1"/>
  <c r="E11" i="11"/>
  <c r="D11" i="11"/>
  <c r="J11" i="11" s="1"/>
  <c r="B11" i="11"/>
  <c r="C11" i="11" s="1"/>
  <c r="A11" i="11"/>
  <c r="H10" i="11"/>
  <c r="G10" i="11"/>
  <c r="F10" i="11"/>
  <c r="I10" i="11" s="1"/>
  <c r="E10" i="11"/>
  <c r="D10" i="11"/>
  <c r="J10" i="11" s="1"/>
  <c r="B10" i="11"/>
  <c r="C10" i="11" s="1"/>
  <c r="A10" i="11"/>
  <c r="H9" i="11"/>
  <c r="G9" i="11"/>
  <c r="F9" i="11"/>
  <c r="I9" i="11" s="1"/>
  <c r="E9" i="11"/>
  <c r="D9" i="11"/>
  <c r="J9" i="11" s="1"/>
  <c r="B9" i="11"/>
  <c r="C9" i="11" s="1"/>
  <c r="A9" i="11"/>
  <c r="H8" i="11"/>
  <c r="G8" i="11"/>
  <c r="F8" i="11"/>
  <c r="I8" i="11" s="1"/>
  <c r="E8" i="11"/>
  <c r="D8" i="11"/>
  <c r="J8" i="11" s="1"/>
  <c r="B8" i="11"/>
  <c r="C8" i="11" s="1"/>
  <c r="A8" i="11"/>
  <c r="H7" i="11"/>
  <c r="G7" i="11"/>
  <c r="F7" i="11"/>
  <c r="I7" i="11" s="1"/>
  <c r="E7" i="11"/>
  <c r="D7" i="11"/>
  <c r="J7" i="11" s="1"/>
  <c r="B7" i="11"/>
  <c r="C7" i="11" s="1"/>
  <c r="A7" i="11"/>
  <c r="H6" i="11"/>
  <c r="G6" i="11"/>
  <c r="F6" i="11"/>
  <c r="I6" i="11" s="1"/>
  <c r="E6" i="11"/>
  <c r="D6" i="11"/>
  <c r="J6" i="11" s="1"/>
  <c r="B6" i="11"/>
  <c r="C6" i="11" s="1"/>
  <c r="A6" i="11"/>
  <c r="H5" i="11"/>
  <c r="G5" i="11"/>
  <c r="F5" i="11"/>
  <c r="I5" i="11" s="1"/>
  <c r="E5" i="11"/>
  <c r="D5" i="11"/>
  <c r="J5" i="11" s="1"/>
  <c r="B5" i="11"/>
  <c r="C5" i="11" s="1"/>
  <c r="A5" i="11"/>
  <c r="H4" i="11"/>
  <c r="G4" i="11"/>
  <c r="F4" i="11"/>
  <c r="I4" i="11" s="1"/>
  <c r="E4" i="11"/>
  <c r="D4" i="11"/>
  <c r="J4" i="11" s="1"/>
  <c r="B4" i="11"/>
  <c r="C4" i="11" s="1"/>
  <c r="A4" i="11"/>
  <c r="M57" i="10"/>
  <c r="M16" i="8" s="1"/>
  <c r="L57" i="10"/>
  <c r="L16" i="8" s="1"/>
  <c r="K57" i="10"/>
  <c r="K16" i="8" s="1"/>
  <c r="J57" i="10"/>
  <c r="I57" i="10"/>
  <c r="I16" i="8" s="1"/>
  <c r="H57" i="10"/>
  <c r="H16" i="8" s="1"/>
  <c r="G57" i="10"/>
  <c r="F57" i="10"/>
  <c r="E57" i="10"/>
  <c r="D57" i="10"/>
  <c r="D16" i="8" s="1"/>
  <c r="C57" i="10"/>
  <c r="B57" i="10"/>
  <c r="B16" i="8" s="1"/>
  <c r="M56" i="10"/>
  <c r="M15" i="8" s="1"/>
  <c r="L56" i="10"/>
  <c r="L15" i="8" s="1"/>
  <c r="K56" i="10"/>
  <c r="K15" i="8" s="1"/>
  <c r="J56" i="10"/>
  <c r="J15" i="8" s="1"/>
  <c r="I56" i="10"/>
  <c r="I15" i="8" s="1"/>
  <c r="H56" i="10"/>
  <c r="H15" i="8" s="1"/>
  <c r="G56" i="10"/>
  <c r="G15" i="8" s="1"/>
  <c r="F56" i="10"/>
  <c r="F15" i="8" s="1"/>
  <c r="E56" i="10"/>
  <c r="E15" i="8" s="1"/>
  <c r="D56" i="10"/>
  <c r="D15" i="8" s="1"/>
  <c r="C56" i="10"/>
  <c r="C15" i="8" s="1"/>
  <c r="B56" i="10"/>
  <c r="B15" i="8" s="1"/>
  <c r="M55" i="10"/>
  <c r="M14" i="8" s="1"/>
  <c r="L55" i="10"/>
  <c r="L14" i="8" s="1"/>
  <c r="K55" i="10"/>
  <c r="K14" i="8" s="1"/>
  <c r="J55" i="10"/>
  <c r="J14" i="8" s="1"/>
  <c r="I55" i="10"/>
  <c r="I14" i="8" s="1"/>
  <c r="H55" i="10"/>
  <c r="H14" i="8" s="1"/>
  <c r="G55" i="10"/>
  <c r="G14" i="8" s="1"/>
  <c r="F55" i="10"/>
  <c r="F14" i="8" s="1"/>
  <c r="E55" i="10"/>
  <c r="E14" i="8" s="1"/>
  <c r="D55" i="10"/>
  <c r="D14" i="8" s="1"/>
  <c r="C55" i="10"/>
  <c r="C14" i="8" s="1"/>
  <c r="B55" i="10"/>
  <c r="B14" i="8" s="1"/>
  <c r="M54" i="10"/>
  <c r="M13" i="8" s="1"/>
  <c r="L54" i="10"/>
  <c r="L13" i="8" s="1"/>
  <c r="K54" i="10"/>
  <c r="K13" i="8" s="1"/>
  <c r="J54" i="10"/>
  <c r="J13" i="8" s="1"/>
  <c r="I54" i="10"/>
  <c r="I13" i="8" s="1"/>
  <c r="H54" i="10"/>
  <c r="H13" i="8" s="1"/>
  <c r="G54" i="10"/>
  <c r="G13" i="8" s="1"/>
  <c r="F54" i="10"/>
  <c r="F13" i="8" s="1"/>
  <c r="E54" i="10"/>
  <c r="E13" i="8" s="1"/>
  <c r="D54" i="10"/>
  <c r="D13" i="8" s="1"/>
  <c r="C54" i="10"/>
  <c r="C13" i="8" s="1"/>
  <c r="B54" i="10"/>
  <c r="B13" i="8" s="1"/>
  <c r="M53" i="10"/>
  <c r="M12" i="8" s="1"/>
  <c r="L53" i="10"/>
  <c r="L12" i="8" s="1"/>
  <c r="K53" i="10"/>
  <c r="K12" i="8" s="1"/>
  <c r="J53" i="10"/>
  <c r="J12" i="8" s="1"/>
  <c r="I53" i="10"/>
  <c r="I12" i="8" s="1"/>
  <c r="H53" i="10"/>
  <c r="H12" i="8" s="1"/>
  <c r="G53" i="10"/>
  <c r="G12" i="8" s="1"/>
  <c r="F53" i="10"/>
  <c r="F12" i="8" s="1"/>
  <c r="E53" i="10"/>
  <c r="E12" i="8" s="1"/>
  <c r="D53" i="10"/>
  <c r="D12" i="8" s="1"/>
  <c r="C53" i="10"/>
  <c r="C12" i="8" s="1"/>
  <c r="B53" i="10"/>
  <c r="B12" i="8" s="1"/>
  <c r="M52" i="10"/>
  <c r="M11" i="8" s="1"/>
  <c r="L52" i="10"/>
  <c r="L11" i="8" s="1"/>
  <c r="K52" i="10"/>
  <c r="K11" i="8" s="1"/>
  <c r="J52" i="10"/>
  <c r="J11" i="8" s="1"/>
  <c r="I52" i="10"/>
  <c r="I11" i="8" s="1"/>
  <c r="H52" i="10"/>
  <c r="H11" i="8" s="1"/>
  <c r="G52" i="10"/>
  <c r="G11" i="8" s="1"/>
  <c r="F52" i="10"/>
  <c r="F11" i="8" s="1"/>
  <c r="E52" i="10"/>
  <c r="E11" i="8" s="1"/>
  <c r="D52" i="10"/>
  <c r="D11" i="8" s="1"/>
  <c r="C52" i="10"/>
  <c r="C11" i="8" s="1"/>
  <c r="B52" i="10"/>
  <c r="B11" i="8" s="1"/>
  <c r="M51" i="10"/>
  <c r="M10" i="8" s="1"/>
  <c r="L51" i="10"/>
  <c r="L10" i="8" s="1"/>
  <c r="K51" i="10"/>
  <c r="K10" i="8" s="1"/>
  <c r="J51" i="10"/>
  <c r="J10" i="8" s="1"/>
  <c r="I51" i="10"/>
  <c r="I10" i="8" s="1"/>
  <c r="H51" i="10"/>
  <c r="H10" i="8" s="1"/>
  <c r="G51" i="10"/>
  <c r="G10" i="8" s="1"/>
  <c r="F51" i="10"/>
  <c r="F10" i="8" s="1"/>
  <c r="E51" i="10"/>
  <c r="E10" i="8" s="1"/>
  <c r="D51" i="10"/>
  <c r="D10" i="8" s="1"/>
  <c r="C51" i="10"/>
  <c r="C10" i="8" s="1"/>
  <c r="B51" i="10"/>
  <c r="B10" i="8" s="1"/>
  <c r="M50" i="10"/>
  <c r="M9" i="8" s="1"/>
  <c r="L50" i="10"/>
  <c r="L9" i="8" s="1"/>
  <c r="K50" i="10"/>
  <c r="K9" i="8" s="1"/>
  <c r="J50" i="10"/>
  <c r="J9" i="8" s="1"/>
  <c r="I50" i="10"/>
  <c r="I9" i="8" s="1"/>
  <c r="H50" i="10"/>
  <c r="H9" i="8" s="1"/>
  <c r="G50" i="10"/>
  <c r="G9" i="8" s="1"/>
  <c r="F50" i="10"/>
  <c r="F9" i="8" s="1"/>
  <c r="E50" i="10"/>
  <c r="E9" i="8" s="1"/>
  <c r="D50" i="10"/>
  <c r="D9" i="8" s="1"/>
  <c r="C50" i="10"/>
  <c r="C9" i="8" s="1"/>
  <c r="B50" i="10"/>
  <c r="B9" i="8" s="1"/>
  <c r="M49" i="10"/>
  <c r="M8" i="8" s="1"/>
  <c r="L49" i="10"/>
  <c r="L8" i="8" s="1"/>
  <c r="K49" i="10"/>
  <c r="K8" i="8" s="1"/>
  <c r="J49" i="10"/>
  <c r="J8" i="8" s="1"/>
  <c r="I49" i="10"/>
  <c r="I8" i="8" s="1"/>
  <c r="H49" i="10"/>
  <c r="H8" i="8" s="1"/>
  <c r="G49" i="10"/>
  <c r="G8" i="8" s="1"/>
  <c r="F49" i="10"/>
  <c r="F8" i="8" s="1"/>
  <c r="E49" i="10"/>
  <c r="E8" i="8" s="1"/>
  <c r="D49" i="10"/>
  <c r="D8" i="8" s="1"/>
  <c r="C49" i="10"/>
  <c r="C8" i="8" s="1"/>
  <c r="B49" i="10"/>
  <c r="B8" i="8" s="1"/>
  <c r="M48" i="10"/>
  <c r="M7" i="8" s="1"/>
  <c r="L48" i="10"/>
  <c r="L7" i="8" s="1"/>
  <c r="K48" i="10"/>
  <c r="K7" i="8" s="1"/>
  <c r="J48" i="10"/>
  <c r="J7" i="8" s="1"/>
  <c r="I48" i="10"/>
  <c r="I7" i="8" s="1"/>
  <c r="H48" i="10"/>
  <c r="H7" i="8" s="1"/>
  <c r="G48" i="10"/>
  <c r="G7" i="8" s="1"/>
  <c r="F48" i="10"/>
  <c r="F7" i="8" s="1"/>
  <c r="E48" i="10"/>
  <c r="E7" i="8" s="1"/>
  <c r="D48" i="10"/>
  <c r="D7" i="8" s="1"/>
  <c r="C48" i="10"/>
  <c r="C7" i="8" s="1"/>
  <c r="B48" i="10"/>
  <c r="B7" i="8" s="1"/>
  <c r="M47" i="10"/>
  <c r="M6" i="8" s="1"/>
  <c r="L47" i="10"/>
  <c r="L6" i="8" s="1"/>
  <c r="K47" i="10"/>
  <c r="K6" i="8" s="1"/>
  <c r="J47" i="10"/>
  <c r="J6" i="8" s="1"/>
  <c r="I47" i="10"/>
  <c r="I6" i="8" s="1"/>
  <c r="H47" i="10"/>
  <c r="H6" i="8" s="1"/>
  <c r="G47" i="10"/>
  <c r="G6" i="8" s="1"/>
  <c r="F47" i="10"/>
  <c r="F6" i="8" s="1"/>
  <c r="E47" i="10"/>
  <c r="E6" i="8" s="1"/>
  <c r="D47" i="10"/>
  <c r="D6" i="8" s="1"/>
  <c r="C47" i="10"/>
  <c r="C6" i="8" s="1"/>
  <c r="B47" i="10"/>
  <c r="B6" i="8" s="1"/>
  <c r="M46" i="10"/>
  <c r="M5" i="8" s="1"/>
  <c r="L46" i="10"/>
  <c r="L5" i="8" s="1"/>
  <c r="K46" i="10"/>
  <c r="K5" i="8" s="1"/>
  <c r="J46" i="10"/>
  <c r="J5" i="8" s="1"/>
  <c r="I46" i="10"/>
  <c r="I5" i="8" s="1"/>
  <c r="H46" i="10"/>
  <c r="H5" i="8" s="1"/>
  <c r="G46" i="10"/>
  <c r="G5" i="8" s="1"/>
  <c r="F46" i="10"/>
  <c r="F5" i="8" s="1"/>
  <c r="E46" i="10"/>
  <c r="E5" i="8" s="1"/>
  <c r="D46" i="10"/>
  <c r="D5" i="8" s="1"/>
  <c r="C46" i="10"/>
  <c r="C5" i="8" s="1"/>
  <c r="B46" i="10"/>
  <c r="B5" i="8" s="1"/>
  <c r="M45" i="10"/>
  <c r="M4" i="8" s="1"/>
  <c r="L45" i="10"/>
  <c r="L4" i="8" s="1"/>
  <c r="K45" i="10"/>
  <c r="K4" i="8" s="1"/>
  <c r="J45" i="10"/>
  <c r="J4" i="8" s="1"/>
  <c r="I45" i="10"/>
  <c r="I4" i="8" s="1"/>
  <c r="H45" i="10"/>
  <c r="H4" i="8" s="1"/>
  <c r="G45" i="10"/>
  <c r="G4" i="8" s="1"/>
  <c r="F45" i="10"/>
  <c r="F4" i="8" s="1"/>
  <c r="E45" i="10"/>
  <c r="E4" i="8" s="1"/>
  <c r="D45" i="10"/>
  <c r="D4" i="8" s="1"/>
  <c r="C45" i="10"/>
  <c r="C4" i="8" s="1"/>
  <c r="B45" i="10"/>
  <c r="B4" i="8" s="1"/>
  <c r="N39" i="10"/>
  <c r="N15" i="7" s="1"/>
  <c r="M39" i="10"/>
  <c r="M15" i="7" s="1"/>
  <c r="L39" i="10"/>
  <c r="L15" i="7" s="1"/>
  <c r="I39" i="10"/>
  <c r="I15" i="7" s="1"/>
  <c r="H39" i="10"/>
  <c r="H15" i="7" s="1"/>
  <c r="G39" i="10"/>
  <c r="G15" i="7" s="1"/>
  <c r="F39" i="10"/>
  <c r="F15" i="7" s="1"/>
  <c r="E39" i="10"/>
  <c r="E15" i="7" s="1"/>
  <c r="D39" i="10"/>
  <c r="D15" i="7" s="1"/>
  <c r="C39" i="10"/>
  <c r="B39" i="10"/>
  <c r="N38" i="10"/>
  <c r="N14" i="7" s="1"/>
  <c r="M38" i="10"/>
  <c r="M14" i="7" s="1"/>
  <c r="L38" i="10"/>
  <c r="L14" i="7" s="1"/>
  <c r="I38" i="10"/>
  <c r="I14" i="7" s="1"/>
  <c r="H38" i="10"/>
  <c r="H14" i="7" s="1"/>
  <c r="G38" i="10"/>
  <c r="G14" i="7" s="1"/>
  <c r="F38" i="10"/>
  <c r="F14" i="7" s="1"/>
  <c r="E38" i="10"/>
  <c r="E14" i="7" s="1"/>
  <c r="D38" i="10"/>
  <c r="D14" i="7" s="1"/>
  <c r="C38" i="10"/>
  <c r="B38" i="10"/>
  <c r="N37" i="10"/>
  <c r="N13" i="7" s="1"/>
  <c r="M37" i="10"/>
  <c r="M13" i="7" s="1"/>
  <c r="L37" i="10"/>
  <c r="L13" i="7" s="1"/>
  <c r="I37" i="10"/>
  <c r="I13" i="7" s="1"/>
  <c r="H37" i="10"/>
  <c r="H13" i="7" s="1"/>
  <c r="G37" i="10"/>
  <c r="G13" i="7" s="1"/>
  <c r="F37" i="10"/>
  <c r="F13" i="7" s="1"/>
  <c r="E37" i="10"/>
  <c r="E13" i="7" s="1"/>
  <c r="D37" i="10"/>
  <c r="D13" i="7" s="1"/>
  <c r="C37" i="10"/>
  <c r="B37" i="10"/>
  <c r="N36" i="10"/>
  <c r="N12" i="7" s="1"/>
  <c r="M36" i="10"/>
  <c r="M12" i="7" s="1"/>
  <c r="L36" i="10"/>
  <c r="L12" i="7" s="1"/>
  <c r="I36" i="10"/>
  <c r="I12" i="7" s="1"/>
  <c r="H36" i="10"/>
  <c r="H12" i="7" s="1"/>
  <c r="G36" i="10"/>
  <c r="G12" i="7" s="1"/>
  <c r="F36" i="10"/>
  <c r="F12" i="7" s="1"/>
  <c r="E36" i="10"/>
  <c r="E12" i="7" s="1"/>
  <c r="D36" i="10"/>
  <c r="D12" i="7" s="1"/>
  <c r="C36" i="10"/>
  <c r="B36" i="10"/>
  <c r="N35" i="10"/>
  <c r="N11" i="7" s="1"/>
  <c r="M35" i="10"/>
  <c r="M11" i="7" s="1"/>
  <c r="L35" i="10"/>
  <c r="L11" i="7" s="1"/>
  <c r="I35" i="10"/>
  <c r="I11" i="7" s="1"/>
  <c r="H35" i="10"/>
  <c r="H11" i="7" s="1"/>
  <c r="G35" i="10"/>
  <c r="G11" i="7" s="1"/>
  <c r="F35" i="10"/>
  <c r="F11" i="7" s="1"/>
  <c r="E35" i="10"/>
  <c r="E11" i="7" s="1"/>
  <c r="D35" i="10"/>
  <c r="D11" i="7" s="1"/>
  <c r="C35" i="10"/>
  <c r="B35" i="10"/>
  <c r="N34" i="10"/>
  <c r="N10" i="7" s="1"/>
  <c r="M34" i="10"/>
  <c r="M10" i="7" s="1"/>
  <c r="L34" i="10"/>
  <c r="L10" i="7" s="1"/>
  <c r="I34" i="10"/>
  <c r="I10" i="7" s="1"/>
  <c r="H34" i="10"/>
  <c r="H10" i="7" s="1"/>
  <c r="G34" i="10"/>
  <c r="G10" i="7" s="1"/>
  <c r="F34" i="10"/>
  <c r="F10" i="7" s="1"/>
  <c r="E34" i="10"/>
  <c r="E10" i="7" s="1"/>
  <c r="D34" i="10"/>
  <c r="D10" i="7" s="1"/>
  <c r="C34" i="10"/>
  <c r="B34" i="10"/>
  <c r="N33" i="10"/>
  <c r="N9" i="7" s="1"/>
  <c r="M33" i="10"/>
  <c r="M9" i="7" s="1"/>
  <c r="L33" i="10"/>
  <c r="L9" i="7" s="1"/>
  <c r="I33" i="10"/>
  <c r="I9" i="7" s="1"/>
  <c r="H33" i="10"/>
  <c r="H9" i="7" s="1"/>
  <c r="G33" i="10"/>
  <c r="G9" i="7" s="1"/>
  <c r="F33" i="10"/>
  <c r="F9" i="7" s="1"/>
  <c r="E33" i="10"/>
  <c r="E9" i="7" s="1"/>
  <c r="D33" i="10"/>
  <c r="D9" i="7" s="1"/>
  <c r="C33" i="10"/>
  <c r="B33" i="10"/>
  <c r="N32" i="10"/>
  <c r="N8" i="7" s="1"/>
  <c r="M32" i="10"/>
  <c r="M8" i="7" s="1"/>
  <c r="L32" i="10"/>
  <c r="L8" i="7" s="1"/>
  <c r="I32" i="10"/>
  <c r="I8" i="7" s="1"/>
  <c r="H32" i="10"/>
  <c r="H8" i="7" s="1"/>
  <c r="G32" i="10"/>
  <c r="G8" i="7" s="1"/>
  <c r="F32" i="10"/>
  <c r="F8" i="7" s="1"/>
  <c r="E32" i="10"/>
  <c r="E8" i="7" s="1"/>
  <c r="D32" i="10"/>
  <c r="D8" i="7" s="1"/>
  <c r="C32" i="10"/>
  <c r="B32" i="10"/>
  <c r="N31" i="10"/>
  <c r="N7" i="7" s="1"/>
  <c r="M31" i="10"/>
  <c r="M7" i="7" s="1"/>
  <c r="L31" i="10"/>
  <c r="L7" i="7" s="1"/>
  <c r="I31" i="10"/>
  <c r="I7" i="7" s="1"/>
  <c r="H31" i="10"/>
  <c r="H7" i="7" s="1"/>
  <c r="G31" i="10"/>
  <c r="G7" i="7" s="1"/>
  <c r="F31" i="10"/>
  <c r="F7" i="7" s="1"/>
  <c r="E31" i="10"/>
  <c r="E7" i="7" s="1"/>
  <c r="D31" i="10"/>
  <c r="D7" i="7" s="1"/>
  <c r="C31" i="10"/>
  <c r="B31" i="10"/>
  <c r="N30" i="10"/>
  <c r="N6" i="7" s="1"/>
  <c r="M30" i="10"/>
  <c r="M6" i="7" s="1"/>
  <c r="L30" i="10"/>
  <c r="L6" i="7" s="1"/>
  <c r="I30" i="10"/>
  <c r="I6" i="7" s="1"/>
  <c r="H30" i="10"/>
  <c r="H6" i="7" s="1"/>
  <c r="G30" i="10"/>
  <c r="G6" i="7" s="1"/>
  <c r="F30" i="10"/>
  <c r="F6" i="7" s="1"/>
  <c r="E30" i="10"/>
  <c r="E6" i="7" s="1"/>
  <c r="D30" i="10"/>
  <c r="D6" i="7" s="1"/>
  <c r="C30" i="10"/>
  <c r="B30" i="10"/>
  <c r="N29" i="10"/>
  <c r="N5" i="7" s="1"/>
  <c r="M29" i="10"/>
  <c r="M5" i="7" s="1"/>
  <c r="L29" i="10"/>
  <c r="L5" i="7" s="1"/>
  <c r="I29" i="10"/>
  <c r="I5" i="7" s="1"/>
  <c r="H29" i="10"/>
  <c r="H5" i="7" s="1"/>
  <c r="G29" i="10"/>
  <c r="G5" i="7" s="1"/>
  <c r="F29" i="10"/>
  <c r="F5" i="7" s="1"/>
  <c r="E29" i="10"/>
  <c r="E5" i="7" s="1"/>
  <c r="D29" i="10"/>
  <c r="D5" i="7" s="1"/>
  <c r="C29" i="10"/>
  <c r="B29" i="10"/>
  <c r="B5" i="7" s="1"/>
  <c r="B22" i="2" s="1"/>
  <c r="N28" i="10"/>
  <c r="N4" i="7" s="1"/>
  <c r="M28" i="10"/>
  <c r="M4" i="7" s="1"/>
  <c r="L28" i="10"/>
  <c r="L4" i="7" s="1"/>
  <c r="I28" i="10"/>
  <c r="I4" i="7" s="1"/>
  <c r="H28" i="10"/>
  <c r="H4" i="7" s="1"/>
  <c r="G28" i="10"/>
  <c r="G4" i="7" s="1"/>
  <c r="F28" i="10"/>
  <c r="F4" i="7" s="1"/>
  <c r="E28" i="10"/>
  <c r="E4" i="7" s="1"/>
  <c r="D28" i="10"/>
  <c r="D4" i="7" s="1"/>
  <c r="C28" i="10"/>
  <c r="B28" i="10"/>
  <c r="B25" i="10"/>
  <c r="J8" i="2" s="1"/>
  <c r="J16" i="8"/>
  <c r="G16" i="8"/>
  <c r="F16" i="8"/>
  <c r="E16" i="8"/>
  <c r="C16" i="8"/>
  <c r="A16" i="8"/>
  <c r="G33" i="2" s="1"/>
  <c r="A15" i="8"/>
  <c r="G32" i="2" s="1"/>
  <c r="A14" i="8"/>
  <c r="G31" i="2" s="1"/>
  <c r="A13" i="8"/>
  <c r="G30" i="2" s="1"/>
  <c r="A12" i="8"/>
  <c r="G29" i="2" s="1"/>
  <c r="A11" i="8"/>
  <c r="G28" i="2" s="1"/>
  <c r="A10" i="8"/>
  <c r="G27" i="2" s="1"/>
  <c r="A9" i="8"/>
  <c r="G26" i="2" s="1"/>
  <c r="A8" i="8"/>
  <c r="G25" i="2" s="1"/>
  <c r="A7" i="8"/>
  <c r="G24" i="2" s="1"/>
  <c r="A6" i="8"/>
  <c r="A5" i="8"/>
  <c r="A4" i="8"/>
  <c r="A15" i="7"/>
  <c r="A14" i="7"/>
  <c r="A13" i="7"/>
  <c r="A12" i="7"/>
  <c r="A11" i="7"/>
  <c r="A10" i="7"/>
  <c r="A9" i="7"/>
  <c r="A8" i="7"/>
  <c r="A7" i="7"/>
  <c r="A24" i="2" s="1"/>
  <c r="A6" i="7"/>
  <c r="A5" i="7"/>
  <c r="A4" i="7"/>
  <c r="B10" i="6"/>
  <c r="A32" i="2"/>
  <c r="A31" i="2"/>
  <c r="A30" i="2"/>
  <c r="A29" i="2"/>
  <c r="A28" i="2"/>
  <c r="A27" i="2"/>
  <c r="A26" i="2"/>
  <c r="A25" i="2"/>
  <c r="G23" i="2"/>
  <c r="A23" i="2"/>
  <c r="G22" i="2"/>
  <c r="A22" i="2"/>
  <c r="G21" i="2"/>
  <c r="A21" i="2"/>
  <c r="B15" i="2"/>
  <c r="J19" i="11" l="1"/>
  <c r="J24" i="11"/>
  <c r="J30" i="11"/>
  <c r="J12" i="11"/>
  <c r="K29" i="10"/>
  <c r="K5" i="7" s="1"/>
  <c r="C5" i="7"/>
  <c r="C22" i="2" s="1"/>
  <c r="J29" i="10"/>
  <c r="K416" i="11"/>
  <c r="K347" i="11"/>
  <c r="K278" i="11"/>
  <c r="M175" i="11"/>
  <c r="O500" i="11"/>
  <c r="N500" i="11"/>
  <c r="M500" i="11"/>
  <c r="K500" i="11"/>
  <c r="K499" i="11"/>
  <c r="O499" i="11"/>
  <c r="N499" i="11"/>
  <c r="M499" i="11"/>
  <c r="O498" i="11"/>
  <c r="N498" i="11"/>
  <c r="M498" i="11"/>
  <c r="K498" i="11"/>
  <c r="O497" i="11"/>
  <c r="N497" i="11"/>
  <c r="M497" i="11"/>
  <c r="K497" i="11"/>
  <c r="O496" i="11"/>
  <c r="N496" i="11"/>
  <c r="M496" i="11"/>
  <c r="K496" i="11"/>
  <c r="O495" i="11"/>
  <c r="N495" i="11"/>
  <c r="M495" i="11"/>
  <c r="K495" i="11"/>
  <c r="O494" i="11"/>
  <c r="K494" i="11"/>
  <c r="N494" i="11"/>
  <c r="M494" i="11"/>
  <c r="N493" i="11"/>
  <c r="O493" i="11"/>
  <c r="M493" i="11"/>
  <c r="K493" i="11"/>
  <c r="O492" i="11"/>
  <c r="N492" i="11"/>
  <c r="M492" i="11"/>
  <c r="K492" i="11"/>
  <c r="K491" i="11"/>
  <c r="O491" i="11"/>
  <c r="N491" i="11"/>
  <c r="M491" i="11"/>
  <c r="O490" i="11"/>
  <c r="N490" i="11"/>
  <c r="M490" i="11"/>
  <c r="K490" i="11"/>
  <c r="O489" i="11"/>
  <c r="N489" i="11"/>
  <c r="M489" i="11"/>
  <c r="K489" i="11"/>
  <c r="M488" i="11"/>
  <c r="O488" i="11"/>
  <c r="N488" i="11"/>
  <c r="K488" i="11"/>
  <c r="O487" i="11"/>
  <c r="N487" i="11"/>
  <c r="M487" i="11"/>
  <c r="K487" i="11"/>
  <c r="M486" i="11"/>
  <c r="O486" i="11"/>
  <c r="N486" i="11"/>
  <c r="K486" i="11"/>
  <c r="M485" i="11"/>
  <c r="N485" i="11"/>
  <c r="O485" i="11"/>
  <c r="K484" i="11"/>
  <c r="M484" i="11"/>
  <c r="O484" i="11"/>
  <c r="N484" i="11"/>
  <c r="N483" i="11"/>
  <c r="O483" i="11"/>
  <c r="M483" i="11"/>
  <c r="K483" i="11"/>
  <c r="O482" i="11"/>
  <c r="K482" i="11"/>
  <c r="M482" i="11"/>
  <c r="N482" i="11"/>
  <c r="K481" i="11"/>
  <c r="N481" i="11"/>
  <c r="O481" i="11"/>
  <c r="M481" i="11"/>
  <c r="O480" i="11"/>
  <c r="N480" i="11"/>
  <c r="M480" i="11"/>
  <c r="K480" i="11"/>
  <c r="N479" i="11"/>
  <c r="O479" i="11"/>
  <c r="K479" i="11"/>
  <c r="M479" i="11"/>
  <c r="O478" i="11"/>
  <c r="N478" i="11"/>
  <c r="M478" i="11"/>
  <c r="K478" i="11"/>
  <c r="K477" i="11"/>
  <c r="M477" i="11"/>
  <c r="N477" i="11"/>
  <c r="O477" i="11"/>
  <c r="K476" i="11"/>
  <c r="M476" i="11"/>
  <c r="N476" i="11"/>
  <c r="O476" i="11"/>
  <c r="K475" i="11"/>
  <c r="M475" i="11"/>
  <c r="O475" i="11"/>
  <c r="N475" i="11"/>
  <c r="M474" i="11"/>
  <c r="K474" i="11"/>
  <c r="O474" i="11"/>
  <c r="N474" i="11"/>
  <c r="M473" i="11"/>
  <c r="O473" i="11"/>
  <c r="N473" i="11"/>
  <c r="K473" i="11"/>
  <c r="N472" i="11"/>
  <c r="M472" i="11"/>
  <c r="O472" i="11"/>
  <c r="K472" i="11"/>
  <c r="K471" i="11"/>
  <c r="M471" i="11"/>
  <c r="N471" i="11"/>
  <c r="O471" i="11"/>
  <c r="N470" i="11"/>
  <c r="O470" i="11"/>
  <c r="M470" i="11"/>
  <c r="K470" i="11"/>
  <c r="M469" i="11"/>
  <c r="K469" i="11"/>
  <c r="O469" i="11"/>
  <c r="N469" i="11"/>
  <c r="N468" i="11"/>
  <c r="O468" i="11"/>
  <c r="M468" i="11"/>
  <c r="K468" i="11"/>
  <c r="O467" i="11"/>
  <c r="N467" i="11"/>
  <c r="M467" i="11"/>
  <c r="K467" i="11"/>
  <c r="O466" i="11"/>
  <c r="N466" i="11"/>
  <c r="M466" i="11"/>
  <c r="K466" i="11"/>
  <c r="O465" i="11"/>
  <c r="N465" i="11"/>
  <c r="M465" i="11"/>
  <c r="K465" i="11"/>
  <c r="O464" i="11"/>
  <c r="N464" i="11"/>
  <c r="M464" i="11"/>
  <c r="K464" i="11"/>
  <c r="O463" i="11"/>
  <c r="N463" i="11"/>
  <c r="M463" i="11"/>
  <c r="K463" i="11"/>
  <c r="K462" i="11"/>
  <c r="O462" i="11"/>
  <c r="N462" i="11"/>
  <c r="M462" i="11"/>
  <c r="M461" i="11"/>
  <c r="O461" i="11"/>
  <c r="N461" i="11"/>
  <c r="K461" i="11"/>
  <c r="O460" i="11"/>
  <c r="N460" i="11"/>
  <c r="M460" i="11"/>
  <c r="K460" i="11"/>
  <c r="K459" i="11"/>
  <c r="O459" i="11"/>
  <c r="N459" i="11"/>
  <c r="M459" i="11"/>
  <c r="O458" i="11"/>
  <c r="N458" i="11"/>
  <c r="M458" i="11"/>
  <c r="K458" i="11"/>
  <c r="O457" i="11"/>
  <c r="N457" i="11"/>
  <c r="M457" i="11"/>
  <c r="K457" i="11"/>
  <c r="O456" i="11"/>
  <c r="N456" i="11"/>
  <c r="M456" i="11"/>
  <c r="K456" i="11"/>
  <c r="K455" i="11"/>
  <c r="O455" i="11"/>
  <c r="N455" i="11"/>
  <c r="M455" i="11"/>
  <c r="N454" i="11"/>
  <c r="O454" i="11"/>
  <c r="M454" i="11"/>
  <c r="K454" i="11"/>
  <c r="K453" i="11"/>
  <c r="O453" i="11"/>
  <c r="N453" i="11"/>
  <c r="M453" i="11"/>
  <c r="O452" i="11"/>
  <c r="N452" i="11"/>
  <c r="M452" i="11"/>
  <c r="K452" i="11"/>
  <c r="O451" i="11"/>
  <c r="N451" i="11"/>
  <c r="M451" i="11"/>
  <c r="K451" i="11"/>
  <c r="O450" i="11"/>
  <c r="N450" i="11"/>
  <c r="M450" i="11"/>
  <c r="K450" i="11"/>
  <c r="K449" i="11"/>
  <c r="O449" i="11"/>
  <c r="N449" i="11"/>
  <c r="M449" i="11"/>
  <c r="M448" i="11"/>
  <c r="O448" i="11"/>
  <c r="N448" i="11"/>
  <c r="K448" i="11"/>
  <c r="N447" i="11"/>
  <c r="O447" i="11"/>
  <c r="M447" i="11"/>
  <c r="K447" i="11"/>
  <c r="O446" i="11"/>
  <c r="N446" i="11"/>
  <c r="M446" i="11"/>
  <c r="K446" i="11"/>
  <c r="O445" i="11"/>
  <c r="N445" i="11"/>
  <c r="M445" i="11"/>
  <c r="K445" i="11"/>
  <c r="O444" i="11"/>
  <c r="N444" i="11"/>
  <c r="M444" i="11"/>
  <c r="K444" i="11"/>
  <c r="O443" i="11"/>
  <c r="N443" i="11"/>
  <c r="M443" i="11"/>
  <c r="K443" i="11"/>
  <c r="K442" i="11"/>
  <c r="O442" i="11"/>
  <c r="N442" i="11"/>
  <c r="M442" i="11"/>
  <c r="O441" i="11"/>
  <c r="N441" i="11"/>
  <c r="M441" i="11"/>
  <c r="K441" i="11"/>
  <c r="K440" i="11"/>
  <c r="O440" i="11"/>
  <c r="N440" i="11"/>
  <c r="M440" i="11"/>
  <c r="O439" i="11"/>
  <c r="N439" i="11"/>
  <c r="M439" i="11"/>
  <c r="K439" i="11"/>
  <c r="K438" i="11"/>
  <c r="O438" i="11"/>
  <c r="N438" i="11"/>
  <c r="M438" i="11"/>
  <c r="O437" i="11"/>
  <c r="N437" i="11"/>
  <c r="M437" i="11"/>
  <c r="K437" i="11"/>
  <c r="O436" i="11"/>
  <c r="N436" i="11"/>
  <c r="M436" i="11"/>
  <c r="K436" i="11"/>
  <c r="O435" i="11"/>
  <c r="N435" i="11"/>
  <c r="M435" i="11"/>
  <c r="K435" i="11"/>
  <c r="K434" i="11"/>
  <c r="O434" i="11"/>
  <c r="N434" i="11"/>
  <c r="M434" i="11"/>
  <c r="O433" i="11"/>
  <c r="K433" i="11"/>
  <c r="M433" i="11"/>
  <c r="N433" i="11"/>
  <c r="N432" i="11"/>
  <c r="M432" i="11"/>
  <c r="K432" i="11"/>
  <c r="O432" i="11"/>
  <c r="N431" i="11"/>
  <c r="O431" i="11"/>
  <c r="M431" i="11"/>
  <c r="K431" i="11"/>
  <c r="O430" i="11"/>
  <c r="N430" i="11"/>
  <c r="M430" i="11"/>
  <c r="K430" i="11"/>
  <c r="K429" i="11"/>
  <c r="O429" i="11"/>
  <c r="N429" i="11"/>
  <c r="M429" i="11"/>
  <c r="N428" i="11"/>
  <c r="M428" i="11"/>
  <c r="O428" i="11"/>
  <c r="K428" i="11"/>
  <c r="O427" i="11"/>
  <c r="M427" i="11"/>
  <c r="K427" i="11"/>
  <c r="N427" i="11"/>
  <c r="O426" i="11"/>
  <c r="N426" i="11"/>
  <c r="M426" i="11"/>
  <c r="K426" i="11"/>
  <c r="K425" i="11"/>
  <c r="M425" i="11"/>
  <c r="N425" i="11"/>
  <c r="O425" i="11"/>
  <c r="M424" i="11"/>
  <c r="O424" i="11"/>
  <c r="N424" i="11"/>
  <c r="K424" i="11"/>
  <c r="O423" i="11"/>
  <c r="N423" i="11"/>
  <c r="M423" i="11"/>
  <c r="K423" i="11"/>
  <c r="O422" i="11"/>
  <c r="N422" i="11"/>
  <c r="M422" i="11"/>
  <c r="K422" i="11"/>
  <c r="O421" i="11"/>
  <c r="N421" i="11"/>
  <c r="M421" i="11"/>
  <c r="K421" i="11"/>
  <c r="O420" i="11"/>
  <c r="N420" i="11"/>
  <c r="M420" i="11"/>
  <c r="K420" i="11"/>
  <c r="N419" i="11"/>
  <c r="M419" i="11"/>
  <c r="O419" i="11"/>
  <c r="K419" i="11"/>
  <c r="K418" i="11"/>
  <c r="M418" i="11"/>
  <c r="N418" i="11"/>
  <c r="O418" i="11"/>
  <c r="M417" i="11"/>
  <c r="K417" i="11"/>
  <c r="N417" i="11"/>
  <c r="O417" i="11"/>
  <c r="M416" i="11"/>
  <c r="N416" i="11"/>
  <c r="O416" i="11"/>
  <c r="O415" i="11"/>
  <c r="N415" i="11"/>
  <c r="K415" i="11"/>
  <c r="M415" i="11"/>
  <c r="N414" i="11"/>
  <c r="O414" i="11"/>
  <c r="K414" i="11"/>
  <c r="M414" i="11"/>
  <c r="O413" i="11"/>
  <c r="N413" i="11"/>
  <c r="M413" i="11"/>
  <c r="K413" i="11"/>
  <c r="N412" i="11"/>
  <c r="O412" i="11"/>
  <c r="M412" i="11"/>
  <c r="K412" i="11"/>
  <c r="M411" i="11"/>
  <c r="N411" i="11"/>
  <c r="O411" i="11"/>
  <c r="K411" i="11"/>
  <c r="O410" i="11"/>
  <c r="M410" i="11"/>
  <c r="N410" i="11"/>
  <c r="K410" i="11"/>
  <c r="M409" i="11"/>
  <c r="K409" i="11"/>
  <c r="N409" i="11"/>
  <c r="O409" i="11"/>
  <c r="M408" i="11"/>
  <c r="O408" i="11"/>
  <c r="N408" i="11"/>
  <c r="K408" i="11"/>
  <c r="N407" i="11"/>
  <c r="K407" i="11"/>
  <c r="O407" i="11"/>
  <c r="M407" i="11"/>
  <c r="O406" i="11"/>
  <c r="N406" i="11"/>
  <c r="M406" i="11"/>
  <c r="K406" i="11"/>
  <c r="O405" i="11"/>
  <c r="M405" i="11"/>
  <c r="N405" i="11"/>
  <c r="K405" i="11"/>
  <c r="M404" i="11"/>
  <c r="O404" i="11"/>
  <c r="N404" i="11"/>
  <c r="K404" i="11"/>
  <c r="N403" i="11"/>
  <c r="K403" i="11"/>
  <c r="M403" i="11"/>
  <c r="O403" i="11"/>
  <c r="N402" i="11"/>
  <c r="O402" i="11"/>
  <c r="K402" i="11"/>
  <c r="M402" i="11"/>
  <c r="O401" i="11"/>
  <c r="M401" i="11"/>
  <c r="N401" i="11"/>
  <c r="K401" i="11"/>
  <c r="N400" i="11"/>
  <c r="K400" i="11"/>
  <c r="O400" i="11"/>
  <c r="M400" i="11"/>
  <c r="O399" i="11"/>
  <c r="N399" i="11"/>
  <c r="M399" i="11"/>
  <c r="K399" i="11"/>
  <c r="M398" i="11"/>
  <c r="K398" i="11"/>
  <c r="O398" i="11"/>
  <c r="N398" i="11"/>
  <c r="K397" i="11"/>
  <c r="M397" i="11"/>
  <c r="N397" i="11"/>
  <c r="O397" i="11"/>
  <c r="K396" i="11"/>
  <c r="M396" i="11"/>
  <c r="O396" i="11"/>
  <c r="N396" i="11"/>
  <c r="O395" i="11"/>
  <c r="N395" i="11"/>
  <c r="M395" i="11"/>
  <c r="K395" i="11"/>
  <c r="K394" i="11"/>
  <c r="N394" i="11"/>
  <c r="O394" i="11"/>
  <c r="M394" i="11"/>
  <c r="K393" i="11"/>
  <c r="N393" i="11"/>
  <c r="O393" i="11"/>
  <c r="M393" i="11"/>
  <c r="N392" i="11"/>
  <c r="M392" i="11"/>
  <c r="O392" i="11"/>
  <c r="K392" i="11"/>
  <c r="N391" i="11"/>
  <c r="M391" i="11"/>
  <c r="K391" i="11"/>
  <c r="O391" i="11"/>
  <c r="O390" i="11"/>
  <c r="N390" i="11"/>
  <c r="M390" i="11"/>
  <c r="K390" i="11"/>
  <c r="N389" i="11"/>
  <c r="M389" i="11"/>
  <c r="O389" i="11"/>
  <c r="K389" i="11"/>
  <c r="M388" i="11"/>
  <c r="K388" i="11"/>
  <c r="N388" i="11"/>
  <c r="O388" i="11"/>
  <c r="O387" i="11"/>
  <c r="N387" i="11"/>
  <c r="K387" i="11"/>
  <c r="M387" i="11"/>
  <c r="K386" i="11"/>
  <c r="N386" i="11"/>
  <c r="O386" i="11"/>
  <c r="M386" i="11"/>
  <c r="N385" i="11"/>
  <c r="M385" i="11"/>
  <c r="O385" i="11"/>
  <c r="K385" i="11"/>
  <c r="O384" i="11"/>
  <c r="K384" i="11"/>
  <c r="N384" i="11"/>
  <c r="M384" i="11"/>
  <c r="N383" i="11"/>
  <c r="O383" i="11"/>
  <c r="K383" i="11"/>
  <c r="M383" i="11"/>
  <c r="N382" i="11"/>
  <c r="K382" i="11"/>
  <c r="O382" i="11"/>
  <c r="M382" i="11"/>
  <c r="O381" i="11"/>
  <c r="N381" i="11"/>
  <c r="M381" i="11"/>
  <c r="K381" i="11"/>
  <c r="K380" i="11"/>
  <c r="O380" i="11"/>
  <c r="N380" i="11"/>
  <c r="M380" i="11"/>
  <c r="M379" i="11"/>
  <c r="O379" i="11"/>
  <c r="N379" i="11"/>
  <c r="K379" i="11"/>
  <c r="K378" i="11"/>
  <c r="M378" i="11"/>
  <c r="N378" i="11"/>
  <c r="O378" i="11"/>
  <c r="N377" i="11"/>
  <c r="M377" i="11"/>
  <c r="K377" i="11"/>
  <c r="O377" i="11"/>
  <c r="O376" i="11"/>
  <c r="N376" i="11"/>
  <c r="K376" i="11"/>
  <c r="M376" i="11"/>
  <c r="M375" i="11"/>
  <c r="N375" i="11"/>
  <c r="O375" i="11"/>
  <c r="K375" i="11"/>
  <c r="N374" i="11"/>
  <c r="M374" i="11"/>
  <c r="K374" i="11"/>
  <c r="O374" i="11"/>
  <c r="M373" i="11"/>
  <c r="N373" i="11"/>
  <c r="O373" i="11"/>
  <c r="K373" i="11"/>
  <c r="M372" i="11"/>
  <c r="O372" i="11"/>
  <c r="K372" i="11"/>
  <c r="N372" i="11"/>
  <c r="O371" i="11"/>
  <c r="K371" i="11"/>
  <c r="N371" i="11"/>
  <c r="M371" i="11"/>
  <c r="N370" i="11"/>
  <c r="K370" i="11"/>
  <c r="M370" i="11"/>
  <c r="O370" i="11"/>
  <c r="M369" i="11"/>
  <c r="N369" i="11"/>
  <c r="K369" i="11"/>
  <c r="O369" i="11"/>
  <c r="K368" i="11"/>
  <c r="O368" i="11"/>
  <c r="N368" i="11"/>
  <c r="M368" i="11"/>
  <c r="M367" i="11"/>
  <c r="N367" i="11"/>
  <c r="K367" i="11"/>
  <c r="O367" i="11"/>
  <c r="O366" i="11"/>
  <c r="M366" i="11"/>
  <c r="N366" i="11"/>
  <c r="K366" i="11"/>
  <c r="M365" i="11"/>
  <c r="K365" i="11"/>
  <c r="O365" i="11"/>
  <c r="N365" i="11"/>
  <c r="M364" i="11"/>
  <c r="N364" i="11"/>
  <c r="O364" i="11"/>
  <c r="K364" i="11"/>
  <c r="K363" i="11"/>
  <c r="O363" i="11"/>
  <c r="M363" i="11"/>
  <c r="N363" i="11"/>
  <c r="N362" i="11"/>
  <c r="O362" i="11"/>
  <c r="M362" i="11"/>
  <c r="K362" i="11"/>
  <c r="K361" i="11"/>
  <c r="M361" i="11"/>
  <c r="N361" i="11"/>
  <c r="O361" i="11"/>
  <c r="M360" i="11"/>
  <c r="K360" i="11"/>
  <c r="N360" i="11"/>
  <c r="O360" i="11"/>
  <c r="K359" i="11"/>
  <c r="M359" i="11"/>
  <c r="O359" i="11"/>
  <c r="N359" i="11"/>
  <c r="O358" i="11"/>
  <c r="N358" i="11"/>
  <c r="M358" i="11"/>
  <c r="K358" i="11"/>
  <c r="N357" i="11"/>
  <c r="M357" i="11"/>
  <c r="O357" i="11"/>
  <c r="K357" i="11"/>
  <c r="K356" i="11"/>
  <c r="O356" i="11"/>
  <c r="M356" i="11"/>
  <c r="N356" i="11"/>
  <c r="O355" i="11"/>
  <c r="K355" i="11"/>
  <c r="M355" i="11"/>
  <c r="N355" i="11"/>
  <c r="O354" i="11"/>
  <c r="K354" i="11"/>
  <c r="N354" i="11"/>
  <c r="M354" i="11"/>
  <c r="M353" i="11"/>
  <c r="N353" i="11"/>
  <c r="O353" i="11"/>
  <c r="K353" i="11"/>
  <c r="O352" i="11"/>
  <c r="M352" i="11"/>
  <c r="K352" i="11"/>
  <c r="N352" i="11"/>
  <c r="O351" i="11"/>
  <c r="K351" i="11"/>
  <c r="M351" i="11"/>
  <c r="N351" i="11"/>
  <c r="O350" i="11"/>
  <c r="K350" i="11"/>
  <c r="M350" i="11"/>
  <c r="N350" i="11"/>
  <c r="M349" i="11"/>
  <c r="K349" i="11"/>
  <c r="N349" i="11"/>
  <c r="O349" i="11"/>
  <c r="N348" i="11"/>
  <c r="K348" i="11"/>
  <c r="M348" i="11"/>
  <c r="O348" i="11"/>
  <c r="N347" i="11"/>
  <c r="M347" i="11"/>
  <c r="O347" i="11"/>
  <c r="K346" i="11"/>
  <c r="M346" i="11"/>
  <c r="O346" i="11"/>
  <c r="N346" i="11"/>
  <c r="O345" i="11"/>
  <c r="K345" i="11"/>
  <c r="M345" i="11"/>
  <c r="N345" i="11"/>
  <c r="K344" i="11"/>
  <c r="M344" i="11"/>
  <c r="O344" i="11"/>
  <c r="N344" i="11"/>
  <c r="M343" i="11"/>
  <c r="N343" i="11"/>
  <c r="K343" i="11"/>
  <c r="O343" i="11"/>
  <c r="K342" i="11"/>
  <c r="N342" i="11"/>
  <c r="M342" i="11"/>
  <c r="O342" i="11"/>
  <c r="M341" i="11"/>
  <c r="K341" i="11"/>
  <c r="N341" i="11"/>
  <c r="O341" i="11"/>
  <c r="M340" i="11"/>
  <c r="O340" i="11"/>
  <c r="N340" i="11"/>
  <c r="K340" i="11"/>
  <c r="O339" i="11"/>
  <c r="N339" i="11"/>
  <c r="K339" i="11"/>
  <c r="M339" i="11"/>
  <c r="M338" i="11"/>
  <c r="K338" i="11"/>
  <c r="N338" i="11"/>
  <c r="N337" i="11"/>
  <c r="O337" i="11"/>
  <c r="M337" i="11"/>
  <c r="K337" i="11"/>
  <c r="N336" i="11"/>
  <c r="O336" i="11"/>
  <c r="K336" i="11"/>
  <c r="M336" i="11"/>
  <c r="N335" i="11"/>
  <c r="O335" i="11"/>
  <c r="K335" i="11"/>
  <c r="M335" i="11"/>
  <c r="O334" i="11"/>
  <c r="K334" i="11"/>
  <c r="M334" i="11"/>
  <c r="N334" i="11"/>
  <c r="O333" i="11"/>
  <c r="N333" i="11"/>
  <c r="M333" i="11"/>
  <c r="K333" i="11"/>
  <c r="O332" i="11"/>
  <c r="N332" i="11"/>
  <c r="K332" i="11"/>
  <c r="M332" i="11"/>
  <c r="K331" i="11"/>
  <c r="N331" i="11"/>
  <c r="O331" i="11"/>
  <c r="M331" i="11"/>
  <c r="N330" i="11"/>
  <c r="O330" i="11"/>
  <c r="M330" i="11"/>
  <c r="K330" i="11"/>
  <c r="O329" i="11"/>
  <c r="N329" i="11"/>
  <c r="M329" i="11"/>
  <c r="K329" i="11"/>
  <c r="M328" i="11"/>
  <c r="N328" i="11"/>
  <c r="K328" i="11"/>
  <c r="O328" i="11"/>
  <c r="N327" i="11"/>
  <c r="O327" i="11"/>
  <c r="M327" i="11"/>
  <c r="K327" i="11"/>
  <c r="O326" i="11"/>
  <c r="N326" i="11"/>
  <c r="M326" i="11"/>
  <c r="K326" i="11"/>
  <c r="M325" i="11"/>
  <c r="O325" i="11"/>
  <c r="N325" i="11"/>
  <c r="K325" i="11"/>
  <c r="O324" i="11"/>
  <c r="N324" i="11"/>
  <c r="M324" i="11"/>
  <c r="K324" i="11"/>
  <c r="M323" i="11"/>
  <c r="K323" i="11"/>
  <c r="O323" i="11"/>
  <c r="N323" i="11"/>
  <c r="O322" i="11"/>
  <c r="N322" i="11"/>
  <c r="M322" i="11"/>
  <c r="K322" i="11"/>
  <c r="M321" i="11"/>
  <c r="K321" i="11"/>
  <c r="O321" i="11"/>
  <c r="N321" i="11"/>
  <c r="K320" i="11"/>
  <c r="M320" i="11"/>
  <c r="N320" i="11"/>
  <c r="O320" i="11"/>
  <c r="M319" i="11"/>
  <c r="O319" i="11"/>
  <c r="N319" i="11"/>
  <c r="K319" i="11"/>
  <c r="O318" i="11"/>
  <c r="N318" i="11"/>
  <c r="M318" i="11"/>
  <c r="K318" i="11"/>
  <c r="M317" i="11"/>
  <c r="K317" i="11"/>
  <c r="N317" i="11"/>
  <c r="O317" i="11"/>
  <c r="M316" i="11"/>
  <c r="K316" i="11"/>
  <c r="O316" i="11"/>
  <c r="N316" i="11"/>
  <c r="M315" i="11"/>
  <c r="K315" i="11"/>
  <c r="O315" i="11"/>
  <c r="N315" i="11"/>
  <c r="M314" i="11"/>
  <c r="O314" i="11"/>
  <c r="N314" i="11"/>
  <c r="K314" i="11"/>
  <c r="O313" i="11"/>
  <c r="N313" i="11"/>
  <c r="M313" i="11"/>
  <c r="K313" i="11"/>
  <c r="O312" i="11"/>
  <c r="N312" i="11"/>
  <c r="K312" i="11"/>
  <c r="M312" i="11"/>
  <c r="K311" i="11"/>
  <c r="M311" i="11"/>
  <c r="N311" i="11"/>
  <c r="O311" i="11"/>
  <c r="K310" i="11"/>
  <c r="M310" i="11"/>
  <c r="N310" i="11"/>
  <c r="O310" i="11"/>
  <c r="K309" i="11"/>
  <c r="M309" i="11"/>
  <c r="N309" i="11"/>
  <c r="O309" i="11"/>
  <c r="O308" i="11"/>
  <c r="N308" i="11"/>
  <c r="M308" i="11"/>
  <c r="K308" i="11"/>
  <c r="O307" i="11"/>
  <c r="M307" i="11"/>
  <c r="N307" i="11"/>
  <c r="K307" i="11"/>
  <c r="N306" i="11"/>
  <c r="M306" i="11"/>
  <c r="K306" i="11"/>
  <c r="O306" i="11"/>
  <c r="K305" i="11"/>
  <c r="O305" i="11"/>
  <c r="N305" i="11"/>
  <c r="M305" i="11"/>
  <c r="O304" i="11"/>
  <c r="N304" i="11"/>
  <c r="M304" i="11"/>
  <c r="K304" i="11"/>
  <c r="O303" i="11"/>
  <c r="N303" i="11"/>
  <c r="M303" i="11"/>
  <c r="K303" i="11"/>
  <c r="N302" i="11"/>
  <c r="O302" i="11"/>
  <c r="M302" i="11"/>
  <c r="K302" i="11"/>
  <c r="K301" i="11"/>
  <c r="M301" i="11"/>
  <c r="N301" i="11"/>
  <c r="O301" i="11"/>
  <c r="M300" i="11"/>
  <c r="N300" i="11"/>
  <c r="O300" i="11"/>
  <c r="K300" i="11"/>
  <c r="M299" i="11"/>
  <c r="N299" i="11"/>
  <c r="O299" i="11"/>
  <c r="K299" i="11"/>
  <c r="O298" i="11"/>
  <c r="N298" i="11"/>
  <c r="M298" i="11"/>
  <c r="K298" i="11"/>
  <c r="O297" i="11"/>
  <c r="N297" i="11"/>
  <c r="M297" i="11"/>
  <c r="K297" i="11"/>
  <c r="M296" i="11"/>
  <c r="O296" i="11"/>
  <c r="N296" i="11"/>
  <c r="K296" i="11"/>
  <c r="K295" i="11"/>
  <c r="N295" i="11"/>
  <c r="O295" i="11"/>
  <c r="M295" i="11"/>
  <c r="K294" i="11"/>
  <c r="M294" i="11"/>
  <c r="N294" i="11"/>
  <c r="O294" i="11"/>
  <c r="K293" i="11"/>
  <c r="M293" i="11"/>
  <c r="N293" i="11"/>
  <c r="O293" i="11"/>
  <c r="N292" i="11"/>
  <c r="O292" i="11"/>
  <c r="M292" i="11"/>
  <c r="K292" i="11"/>
  <c r="O291" i="11"/>
  <c r="N291" i="11"/>
  <c r="M291" i="11"/>
  <c r="K291" i="11"/>
  <c r="N290" i="11"/>
  <c r="O290" i="11"/>
  <c r="M290" i="11"/>
  <c r="K290" i="11"/>
  <c r="M289" i="11"/>
  <c r="K289" i="11"/>
  <c r="O289" i="11"/>
  <c r="N289" i="11"/>
  <c r="K288" i="11"/>
  <c r="M288" i="11"/>
  <c r="N288" i="11"/>
  <c r="O288" i="11"/>
  <c r="O287" i="11"/>
  <c r="M287" i="11"/>
  <c r="N287" i="11"/>
  <c r="K287" i="11"/>
  <c r="O286" i="11"/>
  <c r="N286" i="11"/>
  <c r="M286" i="11"/>
  <c r="K286" i="11"/>
  <c r="O285" i="11"/>
  <c r="N285" i="11"/>
  <c r="M285" i="11"/>
  <c r="K285" i="11"/>
  <c r="N284" i="11"/>
  <c r="K284" i="11"/>
  <c r="M284" i="11"/>
  <c r="O284" i="11"/>
  <c r="K283" i="11"/>
  <c r="M283" i="11"/>
  <c r="N283" i="11"/>
  <c r="O283" i="11"/>
  <c r="K282" i="11"/>
  <c r="O282" i="11"/>
  <c r="N282" i="11"/>
  <c r="M282" i="11"/>
  <c r="O281" i="11"/>
  <c r="N281" i="11"/>
  <c r="M281" i="11"/>
  <c r="K281" i="11"/>
  <c r="N280" i="11"/>
  <c r="M280" i="11"/>
  <c r="K280" i="11"/>
  <c r="O280" i="11"/>
  <c r="N279" i="11"/>
  <c r="O279" i="11"/>
  <c r="K279" i="11"/>
  <c r="M279" i="11"/>
  <c r="N278" i="11"/>
  <c r="M278" i="11"/>
  <c r="O278" i="11"/>
  <c r="O277" i="11"/>
  <c r="N277" i="11"/>
  <c r="M277" i="11"/>
  <c r="K277" i="11"/>
  <c r="N276" i="11"/>
  <c r="M276" i="11"/>
  <c r="K276" i="11"/>
  <c r="O276" i="11"/>
  <c r="M275" i="11"/>
  <c r="K275" i="11"/>
  <c r="O275" i="11"/>
  <c r="N275" i="11"/>
  <c r="O274" i="11"/>
  <c r="N274" i="11"/>
  <c r="M274" i="11"/>
  <c r="K274" i="11"/>
  <c r="O273" i="11"/>
  <c r="N273" i="11"/>
  <c r="M273" i="11"/>
  <c r="K273" i="11"/>
  <c r="O272" i="11"/>
  <c r="N272" i="11"/>
  <c r="M272" i="11"/>
  <c r="K272" i="11"/>
  <c r="O271" i="11"/>
  <c r="N271" i="11"/>
  <c r="M271" i="11"/>
  <c r="L271" i="11"/>
  <c r="P271" i="11"/>
  <c r="Q271" i="11"/>
  <c r="R271" i="11"/>
  <c r="O270" i="11"/>
  <c r="K270" i="11"/>
  <c r="M270" i="11"/>
  <c r="N270" i="11"/>
  <c r="N269" i="11"/>
  <c r="K269" i="11"/>
  <c r="M269" i="11"/>
  <c r="O269" i="11"/>
  <c r="N268" i="11"/>
  <c r="K268" i="11"/>
  <c r="M268" i="11"/>
  <c r="O268" i="11"/>
  <c r="M267" i="11"/>
  <c r="O267" i="11"/>
  <c r="N267" i="11"/>
  <c r="K267" i="11"/>
  <c r="O266" i="11"/>
  <c r="N266" i="11"/>
  <c r="M266" i="11"/>
  <c r="K266" i="11"/>
  <c r="O265" i="11"/>
  <c r="N265" i="11"/>
  <c r="M265" i="11"/>
  <c r="K265" i="11"/>
  <c r="O264" i="11"/>
  <c r="N264" i="11"/>
  <c r="M264" i="11"/>
  <c r="K264" i="11"/>
  <c r="N263" i="11"/>
  <c r="O263" i="11"/>
  <c r="M263" i="11"/>
  <c r="K263" i="11"/>
  <c r="M262" i="11"/>
  <c r="K262" i="11"/>
  <c r="O262" i="11"/>
  <c r="N262" i="11"/>
  <c r="N261" i="11"/>
  <c r="K261" i="11"/>
  <c r="M261" i="11"/>
  <c r="O261" i="11"/>
  <c r="M260" i="11"/>
  <c r="N260" i="11"/>
  <c r="K260" i="11"/>
  <c r="O260" i="11"/>
  <c r="M259" i="11"/>
  <c r="O259" i="11"/>
  <c r="N259" i="11"/>
  <c r="K259" i="11"/>
  <c r="K258" i="11"/>
  <c r="O258" i="11"/>
  <c r="N258" i="11"/>
  <c r="M258" i="11"/>
  <c r="O257" i="11"/>
  <c r="N257" i="11"/>
  <c r="M257" i="11"/>
  <c r="K257" i="11"/>
  <c r="O256" i="11"/>
  <c r="N256" i="11"/>
  <c r="M256" i="11"/>
  <c r="K256" i="11"/>
  <c r="O255" i="11"/>
  <c r="N255" i="11"/>
  <c r="M255" i="11"/>
  <c r="K255" i="11"/>
  <c r="O254" i="11"/>
  <c r="N254" i="11"/>
  <c r="M254" i="11"/>
  <c r="K254" i="11"/>
  <c r="N253" i="11"/>
  <c r="O253" i="11"/>
  <c r="K253" i="11"/>
  <c r="M253" i="11"/>
  <c r="N252" i="11"/>
  <c r="K252" i="11"/>
  <c r="M252" i="11"/>
  <c r="O252" i="11"/>
  <c r="M251" i="11"/>
  <c r="O251" i="11"/>
  <c r="N251" i="11"/>
  <c r="K251" i="11"/>
  <c r="O250" i="11"/>
  <c r="N250" i="11"/>
  <c r="M250" i="11"/>
  <c r="K250" i="11"/>
  <c r="O249" i="11"/>
  <c r="N249" i="11"/>
  <c r="M249" i="11"/>
  <c r="K249" i="11"/>
  <c r="O248" i="11"/>
  <c r="N248" i="11"/>
  <c r="M248" i="11"/>
  <c r="K248" i="11"/>
  <c r="O247" i="11"/>
  <c r="N247" i="11"/>
  <c r="M247" i="11"/>
  <c r="K247" i="11"/>
  <c r="O246" i="11"/>
  <c r="N246" i="11"/>
  <c r="M246" i="11"/>
  <c r="K246" i="11"/>
  <c r="O245" i="11"/>
  <c r="N245" i="11"/>
  <c r="M245" i="11"/>
  <c r="K245" i="11"/>
  <c r="K244" i="11"/>
  <c r="O244" i="11"/>
  <c r="N244" i="11"/>
  <c r="M244" i="11"/>
  <c r="O243" i="11"/>
  <c r="N243" i="11"/>
  <c r="M243" i="11"/>
  <c r="K243" i="11"/>
  <c r="O242" i="11"/>
  <c r="N242" i="11"/>
  <c r="M242" i="11"/>
  <c r="K242" i="11"/>
  <c r="M241" i="11"/>
  <c r="N241" i="11"/>
  <c r="O241" i="11"/>
  <c r="K241" i="11"/>
  <c r="K240" i="11"/>
  <c r="M240" i="11"/>
  <c r="N240" i="11"/>
  <c r="O240" i="11"/>
  <c r="K239" i="11"/>
  <c r="N239" i="11"/>
  <c r="O239" i="11"/>
  <c r="M239" i="11"/>
  <c r="N238" i="11"/>
  <c r="O238" i="11"/>
  <c r="M238" i="11"/>
  <c r="K238" i="11"/>
  <c r="M237" i="11"/>
  <c r="K237" i="11"/>
  <c r="N237" i="11"/>
  <c r="O237" i="11"/>
  <c r="M236" i="11"/>
  <c r="K236" i="11"/>
  <c r="O236" i="11"/>
  <c r="N236" i="11"/>
  <c r="N235" i="11"/>
  <c r="K235" i="11"/>
  <c r="O235" i="11"/>
  <c r="M235" i="11"/>
  <c r="O234" i="11"/>
  <c r="M234" i="11"/>
  <c r="N234" i="11"/>
  <c r="K234" i="11"/>
  <c r="O233" i="11"/>
  <c r="N233" i="11"/>
  <c r="M233" i="11"/>
  <c r="K233" i="11"/>
  <c r="O232" i="11"/>
  <c r="N232" i="11"/>
  <c r="M232" i="11"/>
  <c r="K232" i="11"/>
  <c r="N231" i="11"/>
  <c r="M231" i="11"/>
  <c r="K231" i="11"/>
  <c r="O231" i="11"/>
  <c r="O230" i="11"/>
  <c r="N230" i="11"/>
  <c r="M230" i="11"/>
  <c r="K230" i="11"/>
  <c r="O229" i="11"/>
  <c r="N229" i="11"/>
  <c r="M229" i="11"/>
  <c r="K229" i="11"/>
  <c r="O228" i="11"/>
  <c r="K228" i="11"/>
  <c r="M228" i="11"/>
  <c r="N228" i="11"/>
  <c r="K227" i="11"/>
  <c r="O227" i="11"/>
  <c r="M227" i="11"/>
  <c r="N227" i="11"/>
  <c r="O226" i="11"/>
  <c r="N226" i="11"/>
  <c r="K226" i="11"/>
  <c r="M226" i="11"/>
  <c r="N225" i="11"/>
  <c r="O225" i="11"/>
  <c r="M225" i="11"/>
  <c r="K225" i="11"/>
  <c r="M224" i="11"/>
  <c r="O224" i="11"/>
  <c r="N224" i="11"/>
  <c r="K224" i="11"/>
  <c r="K223" i="11"/>
  <c r="O223" i="11"/>
  <c r="N223" i="11"/>
  <c r="M223" i="11"/>
  <c r="O222" i="11"/>
  <c r="M222" i="11"/>
  <c r="K222" i="11"/>
  <c r="N222" i="11"/>
  <c r="M221" i="11"/>
  <c r="K221" i="11"/>
  <c r="O221" i="11"/>
  <c r="N221" i="11"/>
  <c r="K220" i="11"/>
  <c r="M220" i="11"/>
  <c r="N220" i="11"/>
  <c r="O220" i="11"/>
  <c r="K219" i="11"/>
  <c r="M219" i="11"/>
  <c r="N219" i="11"/>
  <c r="O219" i="11"/>
  <c r="N218" i="11"/>
  <c r="O218" i="11"/>
  <c r="M218" i="11"/>
  <c r="K218" i="11"/>
  <c r="O217" i="11"/>
  <c r="N217" i="11"/>
  <c r="M217" i="11"/>
  <c r="K217" i="11"/>
  <c r="O216" i="11"/>
  <c r="N216" i="11"/>
  <c r="M216" i="11"/>
  <c r="K216" i="11"/>
  <c r="O215" i="11"/>
  <c r="K215" i="11"/>
  <c r="M215" i="11"/>
  <c r="N215" i="11"/>
  <c r="O214" i="11"/>
  <c r="N214" i="11"/>
  <c r="M214" i="11"/>
  <c r="K214" i="11"/>
  <c r="M213" i="11"/>
  <c r="K213" i="11"/>
  <c r="O213" i="11"/>
  <c r="N213" i="11"/>
  <c r="K212" i="11"/>
  <c r="N212" i="11"/>
  <c r="M212" i="11"/>
  <c r="N211" i="11"/>
  <c r="O211" i="11"/>
  <c r="M211" i="11"/>
  <c r="K211" i="11"/>
  <c r="O210" i="11"/>
  <c r="N210" i="11"/>
  <c r="M210" i="11"/>
  <c r="K210" i="11"/>
  <c r="K209" i="11"/>
  <c r="M209" i="11"/>
  <c r="N209" i="11"/>
  <c r="O209" i="11"/>
  <c r="M208" i="11"/>
  <c r="O208" i="11"/>
  <c r="N208" i="11"/>
  <c r="K208" i="11"/>
  <c r="O207" i="11"/>
  <c r="M207" i="11"/>
  <c r="K207" i="11"/>
  <c r="N207" i="11"/>
  <c r="K206" i="11"/>
  <c r="O206" i="11"/>
  <c r="N206" i="11"/>
  <c r="M206" i="11"/>
  <c r="O205" i="11"/>
  <c r="N205" i="11"/>
  <c r="M205" i="11"/>
  <c r="K205" i="11"/>
  <c r="N204" i="11"/>
  <c r="O204" i="11"/>
  <c r="M204" i="11"/>
  <c r="K204" i="11"/>
  <c r="O203" i="11"/>
  <c r="M203" i="11"/>
  <c r="K203" i="11"/>
  <c r="N203" i="11"/>
  <c r="K202" i="11"/>
  <c r="M202" i="11"/>
  <c r="N202" i="11"/>
  <c r="O202" i="11"/>
  <c r="M201" i="11"/>
  <c r="O201" i="11"/>
  <c r="N201" i="11"/>
  <c r="K201" i="11"/>
  <c r="K200" i="11"/>
  <c r="M200" i="11"/>
  <c r="N200" i="11"/>
  <c r="O200" i="11"/>
  <c r="M199" i="11"/>
  <c r="N199" i="11"/>
  <c r="O199" i="11"/>
  <c r="K199" i="11"/>
  <c r="K198" i="11"/>
  <c r="M198" i="11"/>
  <c r="N198" i="11"/>
  <c r="O198" i="11"/>
  <c r="K197" i="11"/>
  <c r="M197" i="11"/>
  <c r="N197" i="11"/>
  <c r="O197" i="11"/>
  <c r="K196" i="11"/>
  <c r="O196" i="11"/>
  <c r="N196" i="11"/>
  <c r="M196" i="11"/>
  <c r="K195" i="11"/>
  <c r="O195" i="11"/>
  <c r="N195" i="11"/>
  <c r="M195" i="11"/>
  <c r="O194" i="11"/>
  <c r="M194" i="11"/>
  <c r="K194" i="11"/>
  <c r="N194" i="11"/>
  <c r="K193" i="11"/>
  <c r="M193" i="11"/>
  <c r="N193" i="11"/>
  <c r="O193" i="11"/>
  <c r="O192" i="11"/>
  <c r="N192" i="11"/>
  <c r="M192" i="11"/>
  <c r="K192" i="11"/>
  <c r="K191" i="11"/>
  <c r="N191" i="11"/>
  <c r="M191" i="11"/>
  <c r="O191" i="11"/>
  <c r="O190" i="11"/>
  <c r="N190" i="11"/>
  <c r="M190" i="11"/>
  <c r="K190" i="11"/>
  <c r="O189" i="11"/>
  <c r="N189" i="11"/>
  <c r="M189" i="11"/>
  <c r="K189" i="11"/>
  <c r="K188" i="11"/>
  <c r="O188" i="11"/>
  <c r="M188" i="11"/>
  <c r="N188" i="11"/>
  <c r="N187" i="11"/>
  <c r="M187" i="11"/>
  <c r="O187" i="11"/>
  <c r="K187" i="11"/>
  <c r="N186" i="11"/>
  <c r="M186" i="11"/>
  <c r="K186" i="11"/>
  <c r="O186" i="11"/>
  <c r="N185" i="11"/>
  <c r="O185" i="11"/>
  <c r="M185" i="11"/>
  <c r="K185" i="11"/>
  <c r="K184" i="11"/>
  <c r="O184" i="11"/>
  <c r="N184" i="11"/>
  <c r="M184" i="11"/>
  <c r="O183" i="11"/>
  <c r="N183" i="11"/>
  <c r="M183" i="11"/>
  <c r="K183" i="11"/>
  <c r="O182" i="11"/>
  <c r="N182" i="11"/>
  <c r="M182" i="11"/>
  <c r="K182" i="11"/>
  <c r="O181" i="11"/>
  <c r="N181" i="11"/>
  <c r="M181" i="11"/>
  <c r="K181" i="11"/>
  <c r="O180" i="11"/>
  <c r="N180" i="11"/>
  <c r="M180" i="11"/>
  <c r="K180" i="11"/>
  <c r="K179" i="11"/>
  <c r="O179" i="11"/>
  <c r="N179" i="11"/>
  <c r="M179" i="11"/>
  <c r="O178" i="11"/>
  <c r="N178" i="11"/>
  <c r="K178" i="11"/>
  <c r="M178" i="11"/>
  <c r="M177" i="11"/>
  <c r="O177" i="11"/>
  <c r="K177" i="11"/>
  <c r="N177" i="11"/>
  <c r="N176" i="11"/>
  <c r="M176" i="11"/>
  <c r="K176" i="11"/>
  <c r="O176" i="11"/>
  <c r="K175" i="11"/>
  <c r="N175" i="11"/>
  <c r="O175" i="11"/>
  <c r="O174" i="11"/>
  <c r="N174" i="11"/>
  <c r="M174" i="11"/>
  <c r="K174" i="11"/>
  <c r="K173" i="11"/>
  <c r="O173" i="11"/>
  <c r="N173" i="11"/>
  <c r="M173" i="11"/>
  <c r="K172" i="11"/>
  <c r="M172" i="11"/>
  <c r="N172" i="11"/>
  <c r="O172" i="11"/>
  <c r="N171" i="11"/>
  <c r="M171" i="11"/>
  <c r="O171" i="11"/>
  <c r="K171" i="11"/>
  <c r="M170" i="11"/>
  <c r="K170" i="11"/>
  <c r="O170" i="11"/>
  <c r="N170" i="11"/>
  <c r="N169" i="11"/>
  <c r="M169" i="11"/>
  <c r="K169" i="11"/>
  <c r="O169" i="11"/>
  <c r="K168" i="11"/>
  <c r="O168" i="11"/>
  <c r="N168" i="11"/>
  <c r="M168" i="11"/>
  <c r="O167" i="11"/>
  <c r="N167" i="11"/>
  <c r="M167" i="11"/>
  <c r="K167" i="11"/>
  <c r="O166" i="11"/>
  <c r="M166" i="11"/>
  <c r="N166" i="11"/>
  <c r="K166" i="11"/>
  <c r="O165" i="11"/>
  <c r="K165" i="11"/>
  <c r="M165" i="11"/>
  <c r="N165" i="11"/>
  <c r="O164" i="11"/>
  <c r="M164" i="11"/>
  <c r="N164" i="11"/>
  <c r="K164" i="11"/>
  <c r="K163" i="11"/>
  <c r="O163" i="11"/>
  <c r="N163" i="11"/>
  <c r="M163" i="11"/>
  <c r="N162" i="11"/>
  <c r="M162" i="11"/>
  <c r="K162" i="11"/>
  <c r="O162" i="11"/>
  <c r="K161" i="11"/>
  <c r="O161" i="11"/>
  <c r="N161" i="11"/>
  <c r="M161" i="11"/>
  <c r="K160" i="11"/>
  <c r="M160" i="11"/>
  <c r="N160" i="11"/>
  <c r="O160" i="11"/>
  <c r="M159" i="11"/>
  <c r="K159" i="11"/>
  <c r="N159" i="11"/>
  <c r="O159" i="11"/>
  <c r="O158" i="11"/>
  <c r="M158" i="11"/>
  <c r="N158" i="11"/>
  <c r="K158" i="11"/>
  <c r="N157" i="11"/>
  <c r="M157" i="11"/>
  <c r="K157" i="11"/>
  <c r="O157" i="11"/>
  <c r="N156" i="11"/>
  <c r="M156" i="11"/>
  <c r="O156" i="11"/>
  <c r="K156" i="11"/>
  <c r="K155" i="11"/>
  <c r="M155" i="11"/>
  <c r="N155" i="11"/>
  <c r="O155" i="11"/>
  <c r="O154" i="11"/>
  <c r="N154" i="11"/>
  <c r="M154" i="11"/>
  <c r="K154" i="11"/>
  <c r="N153" i="11"/>
  <c r="M153" i="11"/>
  <c r="K153" i="11"/>
  <c r="O153" i="11"/>
  <c r="K152" i="11"/>
  <c r="O152" i="11"/>
  <c r="N152" i="11"/>
  <c r="M152" i="11"/>
  <c r="O151" i="11"/>
  <c r="N151" i="11"/>
  <c r="M151" i="11"/>
  <c r="K151" i="11"/>
  <c r="K150" i="11"/>
  <c r="O150" i="11"/>
  <c r="N150" i="11"/>
  <c r="M150" i="11"/>
  <c r="N149" i="11"/>
  <c r="K149" i="11"/>
  <c r="O149" i="11"/>
  <c r="M149" i="11"/>
  <c r="M148" i="11"/>
  <c r="O148" i="11"/>
  <c r="K148" i="11"/>
  <c r="N148" i="11"/>
  <c r="O147" i="11"/>
  <c r="K147" i="11"/>
  <c r="M147" i="11"/>
  <c r="N147" i="11"/>
  <c r="K146" i="11"/>
  <c r="M146" i="11"/>
  <c r="N146" i="11"/>
  <c r="O146" i="11"/>
  <c r="O145" i="11"/>
  <c r="K145" i="11"/>
  <c r="M145" i="11"/>
  <c r="N145" i="11"/>
  <c r="M144" i="11"/>
  <c r="K144" i="11"/>
  <c r="O144" i="11"/>
  <c r="N144" i="11"/>
  <c r="N143" i="11"/>
  <c r="O143" i="11"/>
  <c r="M143" i="11"/>
  <c r="K143" i="11"/>
  <c r="N142" i="11"/>
  <c r="O142" i="11"/>
  <c r="M142" i="11"/>
  <c r="K142" i="11"/>
  <c r="O141" i="11"/>
  <c r="K141" i="11"/>
  <c r="M141" i="11"/>
  <c r="N141" i="11"/>
  <c r="M140" i="11"/>
  <c r="K140" i="11"/>
  <c r="N140" i="11"/>
  <c r="O140" i="11"/>
  <c r="O139" i="11"/>
  <c r="N139" i="11"/>
  <c r="M139" i="11"/>
  <c r="K139" i="11"/>
  <c r="O138" i="11"/>
  <c r="N138" i="11"/>
  <c r="M138" i="11"/>
  <c r="K138" i="11"/>
  <c r="K137" i="11"/>
  <c r="M137" i="11"/>
  <c r="O137" i="11"/>
  <c r="N137" i="11"/>
  <c r="O136" i="11"/>
  <c r="N136" i="11"/>
  <c r="M136" i="11"/>
  <c r="K136" i="11"/>
  <c r="O135" i="11"/>
  <c r="N135" i="11"/>
  <c r="M135" i="11"/>
  <c r="K135" i="11"/>
  <c r="O134" i="11"/>
  <c r="N134" i="11"/>
  <c r="M134" i="11"/>
  <c r="K134" i="11"/>
  <c r="O133" i="11"/>
  <c r="N133" i="11"/>
  <c r="M133" i="11"/>
  <c r="K133" i="11"/>
  <c r="O132" i="11"/>
  <c r="N132" i="11"/>
  <c r="K132" i="11"/>
  <c r="M132" i="11"/>
  <c r="O131" i="11"/>
  <c r="N131" i="11"/>
  <c r="M131" i="11"/>
  <c r="K131" i="11"/>
  <c r="O130" i="11"/>
  <c r="N130" i="11"/>
  <c r="K130" i="11"/>
  <c r="M130" i="11"/>
  <c r="O129" i="11"/>
  <c r="N129" i="11"/>
  <c r="M129" i="11"/>
  <c r="K129" i="11"/>
  <c r="K128" i="11"/>
  <c r="O128" i="11"/>
  <c r="N128" i="11"/>
  <c r="M128" i="11"/>
  <c r="O127" i="11"/>
  <c r="N127" i="11"/>
  <c r="K127" i="11"/>
  <c r="M127" i="11"/>
  <c r="N126" i="11"/>
  <c r="O126" i="11"/>
  <c r="M126" i="11"/>
  <c r="L126" i="11"/>
  <c r="P126" i="11"/>
  <c r="Q126" i="11"/>
  <c r="R126" i="11"/>
  <c r="K125" i="11"/>
  <c r="M125" i="11"/>
  <c r="N125" i="11"/>
  <c r="O125" i="11"/>
  <c r="N124" i="11"/>
  <c r="K124" i="11"/>
  <c r="M124" i="11"/>
  <c r="O124" i="11"/>
  <c r="K123" i="11"/>
  <c r="M123" i="11"/>
  <c r="O123" i="11"/>
  <c r="N123" i="11"/>
  <c r="O122" i="11"/>
  <c r="N122" i="11"/>
  <c r="K122" i="11"/>
  <c r="M122" i="11"/>
  <c r="O121" i="11"/>
  <c r="N121" i="11"/>
  <c r="M121" i="11"/>
  <c r="K121" i="11"/>
  <c r="O120" i="11"/>
  <c r="N120" i="11"/>
  <c r="M120" i="11"/>
  <c r="K120" i="11"/>
  <c r="K119" i="11"/>
  <c r="M119" i="11"/>
  <c r="N119" i="11"/>
  <c r="O119" i="11"/>
  <c r="N118" i="11"/>
  <c r="K118" i="11"/>
  <c r="M118" i="11"/>
  <c r="O118" i="11"/>
  <c r="K117" i="11"/>
  <c r="M117" i="11"/>
  <c r="N117" i="11"/>
  <c r="O117" i="11"/>
  <c r="N116" i="11"/>
  <c r="O116" i="11"/>
  <c r="M116" i="11"/>
  <c r="K116" i="11"/>
  <c r="O115" i="11"/>
  <c r="N115" i="11"/>
  <c r="K115" i="11"/>
  <c r="M115" i="11"/>
  <c r="N114" i="11"/>
  <c r="K114" i="11"/>
  <c r="M114" i="11"/>
  <c r="O114" i="11"/>
  <c r="N113" i="11"/>
  <c r="M113" i="11"/>
  <c r="K113" i="11"/>
  <c r="O113" i="11"/>
  <c r="K112" i="11"/>
  <c r="M112" i="11"/>
  <c r="O112" i="11"/>
  <c r="N112" i="11"/>
  <c r="O111" i="11"/>
  <c r="N111" i="11"/>
  <c r="M111" i="11"/>
  <c r="K111" i="11"/>
  <c r="M110" i="11"/>
  <c r="O110" i="11"/>
  <c r="N110" i="11"/>
  <c r="K110" i="11"/>
  <c r="O109" i="11"/>
  <c r="K109" i="11"/>
  <c r="M109" i="11"/>
  <c r="N109" i="11"/>
  <c r="M108" i="11"/>
  <c r="K108" i="11"/>
  <c r="N108" i="11"/>
  <c r="O108" i="11"/>
  <c r="M107" i="11"/>
  <c r="O107" i="11"/>
  <c r="N107" i="11"/>
  <c r="K107" i="11"/>
  <c r="M106" i="11"/>
  <c r="N106" i="11"/>
  <c r="K106" i="11"/>
  <c r="O106" i="11"/>
  <c r="O105" i="11"/>
  <c r="N105" i="11"/>
  <c r="M105" i="11"/>
  <c r="K105" i="11"/>
  <c r="O104" i="11"/>
  <c r="N104" i="11"/>
  <c r="M104" i="11"/>
  <c r="K104" i="11"/>
  <c r="O103" i="11"/>
  <c r="K103" i="11"/>
  <c r="M103" i="11"/>
  <c r="N103" i="11"/>
  <c r="K102" i="11"/>
  <c r="O102" i="11"/>
  <c r="N102" i="11"/>
  <c r="M102" i="11"/>
  <c r="K101" i="11"/>
  <c r="M101" i="11"/>
  <c r="N101" i="11"/>
  <c r="O101" i="11"/>
  <c r="O100" i="11"/>
  <c r="N100" i="11"/>
  <c r="M100" i="11"/>
  <c r="K100" i="11"/>
  <c r="M99" i="11"/>
  <c r="O99" i="11"/>
  <c r="N99" i="11"/>
  <c r="K99" i="11"/>
  <c r="O98" i="11"/>
  <c r="K98" i="11"/>
  <c r="M98" i="11"/>
  <c r="N98" i="11"/>
  <c r="K97" i="11"/>
  <c r="M97" i="11"/>
  <c r="N97" i="11"/>
  <c r="O97" i="11"/>
  <c r="O96" i="11"/>
  <c r="K96" i="11"/>
  <c r="M96" i="11"/>
  <c r="N96" i="11"/>
  <c r="O95" i="11"/>
  <c r="N95" i="11"/>
  <c r="M95" i="11"/>
  <c r="K95" i="11"/>
  <c r="K94" i="11"/>
  <c r="M94" i="11"/>
  <c r="N94" i="11"/>
  <c r="O94" i="11"/>
  <c r="N93" i="11"/>
  <c r="M93" i="11"/>
  <c r="O93" i="11"/>
  <c r="K93" i="11"/>
  <c r="O92" i="11"/>
  <c r="M92" i="11"/>
  <c r="K92" i="11"/>
  <c r="N92" i="11"/>
  <c r="M91" i="11"/>
  <c r="K91" i="11"/>
  <c r="N91" i="11"/>
  <c r="O91" i="11"/>
  <c r="O90" i="11"/>
  <c r="K90" i="11"/>
  <c r="M90" i="11"/>
  <c r="N90" i="11"/>
  <c r="O89" i="11"/>
  <c r="N89" i="11"/>
  <c r="M89" i="11"/>
  <c r="K89" i="11"/>
  <c r="K88" i="11"/>
  <c r="O88" i="11"/>
  <c r="N88" i="11"/>
  <c r="M88" i="11"/>
  <c r="O87" i="11"/>
  <c r="N87" i="11"/>
  <c r="M87" i="11"/>
  <c r="K87" i="11"/>
  <c r="O86" i="11"/>
  <c r="N86" i="11"/>
  <c r="M86" i="11"/>
  <c r="K86" i="11"/>
  <c r="M85" i="11"/>
  <c r="O85" i="11"/>
  <c r="N85" i="11"/>
  <c r="K85" i="11"/>
  <c r="K84" i="11"/>
  <c r="M84" i="11"/>
  <c r="N84" i="11"/>
  <c r="O84" i="11"/>
  <c r="O83" i="11"/>
  <c r="N83" i="11"/>
  <c r="M83" i="11"/>
  <c r="K83" i="11"/>
  <c r="K82" i="11"/>
  <c r="O82" i="11"/>
  <c r="N82" i="11"/>
  <c r="M82" i="11"/>
  <c r="K81" i="11"/>
  <c r="M81" i="11"/>
  <c r="N81" i="11"/>
  <c r="O81" i="11"/>
  <c r="K80" i="11"/>
  <c r="N80" i="11"/>
  <c r="O80" i="11"/>
  <c r="M80" i="11"/>
  <c r="M79" i="11"/>
  <c r="O79" i="11"/>
  <c r="N79" i="11"/>
  <c r="K79" i="11"/>
  <c r="O78" i="11"/>
  <c r="N78" i="11"/>
  <c r="M78" i="11"/>
  <c r="K78" i="11"/>
  <c r="K77" i="11"/>
  <c r="N77" i="11"/>
  <c r="O77" i="11"/>
  <c r="M77" i="11"/>
  <c r="N76" i="11"/>
  <c r="M76" i="11"/>
  <c r="O76" i="11"/>
  <c r="K76" i="11"/>
  <c r="N75" i="11"/>
  <c r="K75" i="11"/>
  <c r="M75" i="11"/>
  <c r="O75" i="11"/>
  <c r="K74" i="11"/>
  <c r="O74" i="11"/>
  <c r="N74" i="11"/>
  <c r="M74" i="11"/>
  <c r="N73" i="11"/>
  <c r="O73" i="11"/>
  <c r="K73" i="11"/>
  <c r="M73" i="11"/>
  <c r="O72" i="11"/>
  <c r="M72" i="11"/>
  <c r="K72" i="11"/>
  <c r="N72" i="11"/>
  <c r="K71" i="11"/>
  <c r="M71" i="11"/>
  <c r="N71" i="11"/>
  <c r="O70" i="11"/>
  <c r="M70" i="11"/>
  <c r="K70" i="11"/>
  <c r="N70" i="11"/>
  <c r="K69" i="11"/>
  <c r="O69" i="11"/>
  <c r="N69" i="11"/>
  <c r="M69" i="11"/>
  <c r="K68" i="11"/>
  <c r="M68" i="11"/>
  <c r="N68" i="11"/>
  <c r="O68" i="11"/>
  <c r="M67" i="11"/>
  <c r="O67" i="11"/>
  <c r="K67" i="11"/>
  <c r="N67" i="11"/>
  <c r="N66" i="11"/>
  <c r="M66" i="11"/>
  <c r="K66" i="11"/>
  <c r="O66" i="11"/>
  <c r="K65" i="11"/>
  <c r="M65" i="11"/>
  <c r="N65" i="11"/>
  <c r="O65" i="11"/>
  <c r="O64" i="11"/>
  <c r="K64" i="11"/>
  <c r="N64" i="11"/>
  <c r="M64" i="11"/>
  <c r="K63" i="11"/>
  <c r="N63" i="11"/>
  <c r="O63" i="11"/>
  <c r="M63" i="11"/>
  <c r="O62" i="11"/>
  <c r="N62" i="11"/>
  <c r="K62" i="11"/>
  <c r="M62" i="11"/>
  <c r="N61" i="11"/>
  <c r="M61" i="11"/>
  <c r="K61" i="11"/>
  <c r="O61" i="11"/>
  <c r="O60" i="11"/>
  <c r="M60" i="11"/>
  <c r="N60" i="11"/>
  <c r="K60" i="11"/>
  <c r="K59" i="11"/>
  <c r="N59" i="11"/>
  <c r="M59" i="11"/>
  <c r="O59" i="11"/>
  <c r="N58" i="11"/>
  <c r="O58" i="11"/>
  <c r="M58" i="11"/>
  <c r="K58" i="11"/>
  <c r="N57" i="11"/>
  <c r="M57" i="11"/>
  <c r="O57" i="11"/>
  <c r="K57" i="11"/>
  <c r="M56" i="11"/>
  <c r="K56" i="11"/>
  <c r="N56" i="11"/>
  <c r="O56" i="11"/>
  <c r="M55" i="11"/>
  <c r="N55" i="11"/>
  <c r="K55" i="11"/>
  <c r="O55" i="11"/>
  <c r="N54" i="11"/>
  <c r="O54" i="11"/>
  <c r="K54" i="11"/>
  <c r="M54" i="11"/>
  <c r="M53" i="11"/>
  <c r="N53" i="11"/>
  <c r="K53" i="11"/>
  <c r="O53" i="11"/>
  <c r="O52" i="11"/>
  <c r="N52" i="11"/>
  <c r="M52" i="11"/>
  <c r="K52" i="11"/>
  <c r="M51" i="11"/>
  <c r="N51" i="11"/>
  <c r="K51" i="11"/>
  <c r="O51" i="11"/>
  <c r="O50" i="11"/>
  <c r="M50" i="11"/>
  <c r="K50" i="11"/>
  <c r="N50" i="11"/>
  <c r="K49" i="11"/>
  <c r="M49" i="11"/>
  <c r="N49" i="11"/>
  <c r="O49" i="11"/>
  <c r="O48" i="11"/>
  <c r="N48" i="11"/>
  <c r="M48" i="11"/>
  <c r="K48" i="11"/>
  <c r="K47" i="11"/>
  <c r="N47" i="11"/>
  <c r="M47" i="11"/>
  <c r="O47" i="11"/>
  <c r="N46" i="11"/>
  <c r="O46" i="11"/>
  <c r="K46" i="11"/>
  <c r="M46" i="11"/>
  <c r="M45" i="11"/>
  <c r="O45" i="11"/>
  <c r="K45" i="11"/>
  <c r="N45" i="11"/>
  <c r="M44" i="11"/>
  <c r="K44" i="11"/>
  <c r="O44" i="11"/>
  <c r="N44" i="11"/>
  <c r="M43" i="11"/>
  <c r="O43" i="11"/>
  <c r="K43" i="11"/>
  <c r="N43" i="11"/>
  <c r="M42" i="11"/>
  <c r="K42" i="11"/>
  <c r="O42" i="11"/>
  <c r="N42" i="11"/>
  <c r="O41" i="11"/>
  <c r="M41" i="11"/>
  <c r="K41" i="11"/>
  <c r="N41" i="11"/>
  <c r="M40" i="11"/>
  <c r="K40" i="11"/>
  <c r="N40" i="11"/>
  <c r="O40" i="11"/>
  <c r="M39" i="11"/>
  <c r="K39" i="11"/>
  <c r="O39" i="11"/>
  <c r="N39" i="11"/>
  <c r="N38" i="11"/>
  <c r="O38" i="11"/>
  <c r="M38" i="11"/>
  <c r="K38" i="11"/>
  <c r="K37" i="11"/>
  <c r="N37" i="11"/>
  <c r="O37" i="11"/>
  <c r="M37" i="11"/>
  <c r="O36" i="11"/>
  <c r="M36" i="11"/>
  <c r="K36" i="11"/>
  <c r="N36" i="11"/>
  <c r="N35" i="11"/>
  <c r="M35" i="11"/>
  <c r="K35" i="11"/>
  <c r="O35" i="11"/>
  <c r="O34" i="11"/>
  <c r="N34" i="11"/>
  <c r="M34" i="11"/>
  <c r="K34" i="11"/>
  <c r="K33" i="11"/>
  <c r="O33" i="11"/>
  <c r="N33" i="11"/>
  <c r="M33" i="11"/>
  <c r="O32" i="11"/>
  <c r="N32" i="11"/>
  <c r="M32" i="11"/>
  <c r="K32" i="11"/>
  <c r="O31" i="11"/>
  <c r="N31" i="11"/>
  <c r="M31" i="11"/>
  <c r="K31" i="11"/>
  <c r="O29" i="11"/>
  <c r="N29" i="11"/>
  <c r="M29" i="11"/>
  <c r="K29" i="11"/>
  <c r="O28" i="11"/>
  <c r="N28" i="11"/>
  <c r="M28" i="11"/>
  <c r="K28" i="11"/>
  <c r="K27" i="11"/>
  <c r="M27" i="11"/>
  <c r="N27" i="11"/>
  <c r="O27" i="11"/>
  <c r="O26" i="11"/>
  <c r="N26" i="11"/>
  <c r="M26" i="11"/>
  <c r="K26" i="11"/>
  <c r="N25" i="11"/>
  <c r="O25" i="11"/>
  <c r="M25" i="11"/>
  <c r="K25" i="11"/>
  <c r="M23" i="11"/>
  <c r="N23" i="11"/>
  <c r="K23" i="11"/>
  <c r="O23" i="11"/>
  <c r="N22" i="11"/>
  <c r="M22" i="11"/>
  <c r="K22" i="11"/>
  <c r="O22" i="11"/>
  <c r="O21" i="11"/>
  <c r="N21" i="11"/>
  <c r="K21" i="11"/>
  <c r="M21" i="11"/>
  <c r="M20" i="11"/>
  <c r="O20" i="11"/>
  <c r="K20" i="11"/>
  <c r="N20" i="11"/>
  <c r="M18" i="11"/>
  <c r="O18" i="11"/>
  <c r="K18" i="11"/>
  <c r="N18" i="11"/>
  <c r="O17" i="11"/>
  <c r="N17" i="11"/>
  <c r="M17" i="11"/>
  <c r="K17" i="11"/>
  <c r="M16" i="11"/>
  <c r="N16" i="11"/>
  <c r="O16" i="11"/>
  <c r="K16" i="11"/>
  <c r="K15" i="11"/>
  <c r="M15" i="11"/>
  <c r="N15" i="11"/>
  <c r="O15" i="11"/>
  <c r="N14" i="11"/>
  <c r="O14" i="11"/>
  <c r="K14" i="11"/>
  <c r="M14" i="11"/>
  <c r="O13" i="11"/>
  <c r="N13" i="11"/>
  <c r="M13" i="11"/>
  <c r="K13" i="11"/>
  <c r="O11" i="11"/>
  <c r="N11" i="11"/>
  <c r="M11" i="11"/>
  <c r="K11" i="11"/>
  <c r="O10" i="11"/>
  <c r="N10" i="11"/>
  <c r="M10" i="11"/>
  <c r="K10" i="11"/>
  <c r="M9" i="11"/>
  <c r="N9" i="11"/>
  <c r="O9" i="11"/>
  <c r="K9" i="11"/>
  <c r="K8" i="11"/>
  <c r="O8" i="11"/>
  <c r="N8" i="11"/>
  <c r="M8" i="11"/>
  <c r="K7" i="11"/>
  <c r="N7" i="11"/>
  <c r="M7" i="11"/>
  <c r="O7" i="11"/>
  <c r="N6" i="11"/>
  <c r="O6" i="11"/>
  <c r="M6" i="11"/>
  <c r="K6" i="11"/>
  <c r="K5" i="11"/>
  <c r="M5" i="11"/>
  <c r="N5" i="11"/>
  <c r="O5" i="11"/>
  <c r="K4" i="11"/>
  <c r="N4" i="11"/>
  <c r="M4" i="11"/>
  <c r="O4" i="11"/>
  <c r="E6" i="9"/>
  <c r="E7" i="9"/>
  <c r="G6" i="9"/>
  <c r="H10" i="9"/>
  <c r="I7" i="9"/>
  <c r="J7" i="9" s="1"/>
  <c r="H9" i="9"/>
  <c r="O31" i="10"/>
  <c r="O35" i="10"/>
  <c r="D8" i="9"/>
  <c r="C7" i="9"/>
  <c r="H8" i="9"/>
  <c r="B10" i="9"/>
  <c r="D11" i="9"/>
  <c r="O36" i="10"/>
  <c r="B6" i="9"/>
  <c r="D7" i="9"/>
  <c r="G10" i="9"/>
  <c r="B7" i="9"/>
  <c r="G8" i="9"/>
  <c r="C10" i="9"/>
  <c r="F11" i="9"/>
  <c r="O32" i="10"/>
  <c r="F6" i="9"/>
  <c r="H6" i="9"/>
  <c r="O33" i="10"/>
  <c r="O38" i="10"/>
  <c r="G7" i="9"/>
  <c r="C9" i="9"/>
  <c r="I10" i="9"/>
  <c r="J10" i="9" s="1"/>
  <c r="G11" i="9"/>
  <c r="H11" i="9"/>
  <c r="I11" i="9"/>
  <c r="J11" i="9" s="1"/>
  <c r="B12" i="9"/>
  <c r="C12" i="9"/>
  <c r="D12" i="9"/>
  <c r="E12" i="9"/>
  <c r="F12" i="9"/>
  <c r="G12" i="9"/>
  <c r="H12" i="9"/>
  <c r="I12" i="9"/>
  <c r="J12" i="9" s="1"/>
  <c r="B13" i="9"/>
  <c r="C13" i="9"/>
  <c r="D13" i="9"/>
  <c r="E13" i="9"/>
  <c r="F13" i="9"/>
  <c r="G13" i="9"/>
  <c r="H13" i="9"/>
  <c r="I13" i="9"/>
  <c r="J13" i="9" s="1"/>
  <c r="B14" i="9"/>
  <c r="C14" i="9"/>
  <c r="D14" i="9"/>
  <c r="E14" i="9"/>
  <c r="F14" i="9"/>
  <c r="G14" i="9"/>
  <c r="H14" i="9"/>
  <c r="I14" i="9"/>
  <c r="J14" i="9" s="1"/>
  <c r="B15" i="9"/>
  <c r="C15" i="9"/>
  <c r="D15" i="9"/>
  <c r="E15" i="9"/>
  <c r="F15" i="9"/>
  <c r="G15" i="9"/>
  <c r="H15" i="9"/>
  <c r="I15" i="9"/>
  <c r="J15" i="9" s="1"/>
  <c r="B8" i="9"/>
  <c r="O37" i="10"/>
  <c r="F8" i="9"/>
  <c r="F10" i="9"/>
  <c r="O39" i="10"/>
  <c r="B9" i="9"/>
  <c r="I6" i="9"/>
  <c r="J6" i="9" s="1"/>
  <c r="D10" i="9"/>
  <c r="I8" i="9"/>
  <c r="J8" i="9" s="1"/>
  <c r="E10" i="9"/>
  <c r="E8" i="9"/>
  <c r="I9" i="9"/>
  <c r="J9" i="9" s="1"/>
  <c r="E11" i="9"/>
  <c r="O34" i="10"/>
  <c r="C6" i="9"/>
  <c r="G9" i="9"/>
  <c r="D6" i="9"/>
  <c r="B11" i="9"/>
  <c r="D9" i="9"/>
  <c r="H7" i="9"/>
  <c r="E9" i="9"/>
  <c r="C11" i="9"/>
  <c r="O30" i="10"/>
  <c r="C8" i="9"/>
  <c r="F7" i="9"/>
  <c r="F9" i="9"/>
  <c r="K39" i="10"/>
  <c r="K15" i="7" s="1"/>
  <c r="C15" i="7"/>
  <c r="C32" i="2" s="1"/>
  <c r="J39" i="10"/>
  <c r="B15" i="7"/>
  <c r="B32" i="2" s="1"/>
  <c r="C14" i="7"/>
  <c r="C31" i="2" s="1"/>
  <c r="K38" i="10"/>
  <c r="K14" i="7" s="1"/>
  <c r="B14" i="7"/>
  <c r="B31" i="2" s="1"/>
  <c r="J38" i="10"/>
  <c r="C13" i="7"/>
  <c r="C30" i="2" s="1"/>
  <c r="K37" i="10"/>
  <c r="K13" i="7" s="1"/>
  <c r="B13" i="7"/>
  <c r="B30" i="2" s="1"/>
  <c r="J37" i="10"/>
  <c r="K36" i="10"/>
  <c r="K12" i="7" s="1"/>
  <c r="C12" i="7"/>
  <c r="C29" i="2" s="1"/>
  <c r="J36" i="10"/>
  <c r="B12" i="7"/>
  <c r="B29" i="2" s="1"/>
  <c r="K35" i="10"/>
  <c r="K11" i="7" s="1"/>
  <c r="C11" i="7"/>
  <c r="C28" i="2" s="1"/>
  <c r="J35" i="10"/>
  <c r="B11" i="7"/>
  <c r="B28" i="2" s="1"/>
  <c r="K34" i="10"/>
  <c r="K10" i="7" s="1"/>
  <c r="C10" i="7"/>
  <c r="C27" i="2" s="1"/>
  <c r="J34" i="10"/>
  <c r="B10" i="7"/>
  <c r="B27" i="2" s="1"/>
  <c r="C9" i="7"/>
  <c r="C26" i="2" s="1"/>
  <c r="K33" i="10"/>
  <c r="K9" i="7" s="1"/>
  <c r="J33" i="10"/>
  <c r="B9" i="7"/>
  <c r="B26" i="2" s="1"/>
  <c r="C8" i="7"/>
  <c r="C25" i="2" s="1"/>
  <c r="K32" i="10"/>
  <c r="K8" i="7" s="1"/>
  <c r="J32" i="10"/>
  <c r="B8" i="7"/>
  <c r="B25" i="2" s="1"/>
  <c r="K31" i="10"/>
  <c r="K7" i="7" s="1"/>
  <c r="C7" i="7"/>
  <c r="C24" i="2" s="1"/>
  <c r="J31" i="10"/>
  <c r="B7" i="7"/>
  <c r="B24" i="2" s="1"/>
  <c r="K30" i="10"/>
  <c r="K6" i="7" s="1"/>
  <c r="B19" i="10"/>
  <c r="B6" i="10"/>
  <c r="C6" i="7"/>
  <c r="C23" i="2" s="1"/>
  <c r="J30" i="10"/>
  <c r="B5" i="10"/>
  <c r="B6" i="7"/>
  <c r="B23" i="2" s="1"/>
  <c r="B6" i="13"/>
  <c r="K28" i="10"/>
  <c r="C4" i="7"/>
  <c r="C21" i="2" s="1"/>
  <c r="B66" i="10"/>
  <c r="J28" i="10"/>
  <c r="B4" i="7"/>
  <c r="B21" i="2" s="1"/>
  <c r="K485" i="11"/>
  <c r="N19" i="11" l="1"/>
  <c r="K19" i="11"/>
  <c r="M19" i="11"/>
  <c r="O19" i="11"/>
  <c r="N24" i="11"/>
  <c r="K24" i="11"/>
  <c r="O24" i="11"/>
  <c r="M24" i="11"/>
  <c r="C5" i="9" s="1"/>
  <c r="K30" i="11"/>
  <c r="O30" i="11"/>
  <c r="N30" i="11"/>
  <c r="M30" i="11"/>
  <c r="O12" i="11"/>
  <c r="E4" i="9" s="1"/>
  <c r="N12" i="11"/>
  <c r="D4" i="9" s="1"/>
  <c r="M12" i="11"/>
  <c r="C4" i="9" s="1"/>
  <c r="K12" i="11"/>
  <c r="B15" i="10"/>
  <c r="J5" i="7"/>
  <c r="E22" i="2"/>
  <c r="L416" i="11"/>
  <c r="P416" i="11"/>
  <c r="Q416" i="11"/>
  <c r="R416" i="11"/>
  <c r="L347" i="11"/>
  <c r="P347" i="11"/>
  <c r="R347" i="11"/>
  <c r="Q347" i="11"/>
  <c r="L278" i="11"/>
  <c r="P278" i="11"/>
  <c r="R278" i="11"/>
  <c r="Q278" i="11"/>
  <c r="S278" i="11" s="1"/>
  <c r="S271" i="11"/>
  <c r="L500" i="11"/>
  <c r="P500" i="11"/>
  <c r="Q500" i="11"/>
  <c r="R500" i="11"/>
  <c r="L499" i="11"/>
  <c r="P499" i="11"/>
  <c r="Q499" i="11"/>
  <c r="R499" i="11"/>
  <c r="L498" i="11"/>
  <c r="P498" i="11"/>
  <c r="Q498" i="11"/>
  <c r="R498" i="11"/>
  <c r="L497" i="11"/>
  <c r="P497" i="11"/>
  <c r="Q497" i="11"/>
  <c r="R497" i="11"/>
  <c r="L496" i="11"/>
  <c r="P496" i="11"/>
  <c r="Q496" i="11"/>
  <c r="R496" i="11"/>
  <c r="L495" i="11"/>
  <c r="P495" i="11"/>
  <c r="Q495" i="11"/>
  <c r="R495" i="11"/>
  <c r="L494" i="11"/>
  <c r="P494" i="11"/>
  <c r="Q494" i="11"/>
  <c r="R494" i="11"/>
  <c r="L493" i="11"/>
  <c r="P493" i="11"/>
  <c r="Q493" i="11"/>
  <c r="R493" i="11"/>
  <c r="L492" i="11"/>
  <c r="P492" i="11"/>
  <c r="Q492" i="11"/>
  <c r="R492" i="11"/>
  <c r="L491" i="11"/>
  <c r="P491" i="11"/>
  <c r="Q491" i="11"/>
  <c r="R491" i="11"/>
  <c r="L490" i="11"/>
  <c r="P490" i="11"/>
  <c r="Q490" i="11"/>
  <c r="R490" i="11"/>
  <c r="L489" i="11"/>
  <c r="P489" i="11"/>
  <c r="Q489" i="11"/>
  <c r="R489" i="11"/>
  <c r="L488" i="11"/>
  <c r="P488" i="11"/>
  <c r="Q488" i="11"/>
  <c r="R488" i="11"/>
  <c r="L487" i="11"/>
  <c r="P487" i="11"/>
  <c r="Q487" i="11"/>
  <c r="R487" i="11"/>
  <c r="L486" i="11"/>
  <c r="P486" i="11"/>
  <c r="Q486" i="11"/>
  <c r="R486" i="11"/>
  <c r="L484" i="11"/>
  <c r="P484" i="11"/>
  <c r="Q484" i="11"/>
  <c r="R484" i="11"/>
  <c r="L483" i="11"/>
  <c r="P483" i="11"/>
  <c r="Q483" i="11"/>
  <c r="R483" i="11"/>
  <c r="L482" i="11"/>
  <c r="P482" i="11"/>
  <c r="Q482" i="11"/>
  <c r="R482" i="11"/>
  <c r="L481" i="11"/>
  <c r="P481" i="11"/>
  <c r="Q481" i="11"/>
  <c r="R481" i="11"/>
  <c r="L480" i="11"/>
  <c r="P480" i="11"/>
  <c r="Q480" i="11"/>
  <c r="R480" i="11"/>
  <c r="L479" i="11"/>
  <c r="P479" i="11"/>
  <c r="Q479" i="11"/>
  <c r="R479" i="11"/>
  <c r="L478" i="11"/>
  <c r="P478" i="11"/>
  <c r="Q478" i="11"/>
  <c r="R478" i="11"/>
  <c r="L477" i="11"/>
  <c r="P477" i="11"/>
  <c r="Q477" i="11"/>
  <c r="R477" i="11"/>
  <c r="L476" i="11"/>
  <c r="P476" i="11"/>
  <c r="Q476" i="11"/>
  <c r="R476" i="11"/>
  <c r="L475" i="11"/>
  <c r="P475" i="11"/>
  <c r="Q475" i="11"/>
  <c r="R475" i="11"/>
  <c r="L474" i="11"/>
  <c r="P474" i="11"/>
  <c r="Q474" i="11"/>
  <c r="R474" i="11"/>
  <c r="L473" i="11"/>
  <c r="P473" i="11"/>
  <c r="Q473" i="11"/>
  <c r="R473" i="11"/>
  <c r="L472" i="11"/>
  <c r="P472" i="11"/>
  <c r="Q472" i="11"/>
  <c r="R472" i="11"/>
  <c r="L471" i="11"/>
  <c r="P471" i="11"/>
  <c r="Q471" i="11"/>
  <c r="R471" i="11"/>
  <c r="P470" i="11"/>
  <c r="Q470" i="11"/>
  <c r="R470" i="11"/>
  <c r="L470" i="11"/>
  <c r="P469" i="11"/>
  <c r="L469" i="11"/>
  <c r="Q469" i="11"/>
  <c r="R469" i="11"/>
  <c r="L468" i="11"/>
  <c r="P468" i="11"/>
  <c r="Q468" i="11"/>
  <c r="R468" i="11"/>
  <c r="L467" i="11"/>
  <c r="P467" i="11"/>
  <c r="Q467" i="11"/>
  <c r="R467" i="11"/>
  <c r="L466" i="11"/>
  <c r="P466" i="11"/>
  <c r="Q466" i="11"/>
  <c r="R466" i="11"/>
  <c r="L465" i="11"/>
  <c r="P465" i="11"/>
  <c r="Q465" i="11"/>
  <c r="R465" i="11"/>
  <c r="L464" i="11"/>
  <c r="P464" i="11"/>
  <c r="Q464" i="11"/>
  <c r="R464" i="11"/>
  <c r="L463" i="11"/>
  <c r="P463" i="11"/>
  <c r="Q463" i="11"/>
  <c r="R463" i="11"/>
  <c r="L462" i="11"/>
  <c r="P462" i="11"/>
  <c r="Q462" i="11"/>
  <c r="R462" i="11"/>
  <c r="L461" i="11"/>
  <c r="P461" i="11"/>
  <c r="Q461" i="11"/>
  <c r="R461" i="11"/>
  <c r="L460" i="11"/>
  <c r="P460" i="11"/>
  <c r="Q460" i="11"/>
  <c r="R460" i="11"/>
  <c r="L459" i="11"/>
  <c r="P459" i="11"/>
  <c r="Q459" i="11"/>
  <c r="R459" i="11"/>
  <c r="L458" i="11"/>
  <c r="P458" i="11"/>
  <c r="Q458" i="11"/>
  <c r="R458" i="11"/>
  <c r="L457" i="11"/>
  <c r="P457" i="11"/>
  <c r="Q457" i="11"/>
  <c r="R457" i="11"/>
  <c r="L456" i="11"/>
  <c r="P456" i="11"/>
  <c r="Q456" i="11"/>
  <c r="R456" i="11"/>
  <c r="L455" i="11"/>
  <c r="P455" i="11"/>
  <c r="Q455" i="11"/>
  <c r="R455" i="11"/>
  <c r="L454" i="11"/>
  <c r="P454" i="11"/>
  <c r="Q454" i="11"/>
  <c r="R454" i="11"/>
  <c r="L453" i="11"/>
  <c r="P453" i="11"/>
  <c r="Q453" i="11"/>
  <c r="R453" i="11"/>
  <c r="L452" i="11"/>
  <c r="P452" i="11"/>
  <c r="Q452" i="11"/>
  <c r="R452" i="11"/>
  <c r="L451" i="11"/>
  <c r="P451" i="11"/>
  <c r="Q451" i="11"/>
  <c r="R451" i="11"/>
  <c r="L450" i="11"/>
  <c r="P450" i="11"/>
  <c r="Q450" i="11"/>
  <c r="R450" i="11"/>
  <c r="L449" i="11"/>
  <c r="P449" i="11"/>
  <c r="Q449" i="11"/>
  <c r="R449" i="11"/>
  <c r="L448" i="11"/>
  <c r="P448" i="11"/>
  <c r="Q448" i="11"/>
  <c r="R448" i="11"/>
  <c r="L447" i="11"/>
  <c r="P447" i="11"/>
  <c r="Q447" i="11"/>
  <c r="R447" i="11"/>
  <c r="L446" i="11"/>
  <c r="P446" i="11"/>
  <c r="Q446" i="11"/>
  <c r="R446" i="11"/>
  <c r="L445" i="11"/>
  <c r="P445" i="11"/>
  <c r="Q445" i="11"/>
  <c r="R445" i="11"/>
  <c r="L444" i="11"/>
  <c r="P444" i="11"/>
  <c r="Q444" i="11"/>
  <c r="R444" i="11"/>
  <c r="L443" i="11"/>
  <c r="P443" i="11"/>
  <c r="Q443" i="11"/>
  <c r="R443" i="11"/>
  <c r="L442" i="11"/>
  <c r="P442" i="11"/>
  <c r="Q442" i="11"/>
  <c r="R442" i="11"/>
  <c r="L441" i="11"/>
  <c r="P441" i="11"/>
  <c r="Q441" i="11"/>
  <c r="R441" i="11"/>
  <c r="L440" i="11"/>
  <c r="P440" i="11"/>
  <c r="Q440" i="11"/>
  <c r="R440" i="11"/>
  <c r="L439" i="11"/>
  <c r="P439" i="11"/>
  <c r="Q439" i="11"/>
  <c r="R439" i="11"/>
  <c r="L438" i="11"/>
  <c r="P438" i="11"/>
  <c r="Q438" i="11"/>
  <c r="R438" i="11"/>
  <c r="L437" i="11"/>
  <c r="P437" i="11"/>
  <c r="Q437" i="11"/>
  <c r="R437" i="11"/>
  <c r="L436" i="11"/>
  <c r="P436" i="11"/>
  <c r="Q436" i="11"/>
  <c r="R436" i="11"/>
  <c r="L435" i="11"/>
  <c r="P435" i="11"/>
  <c r="Q435" i="11"/>
  <c r="R435" i="11"/>
  <c r="L434" i="11"/>
  <c r="P434" i="11"/>
  <c r="Q434" i="11"/>
  <c r="R434" i="11"/>
  <c r="L433" i="11"/>
  <c r="P433" i="11"/>
  <c r="Q433" i="11"/>
  <c r="R433" i="11"/>
  <c r="L432" i="11"/>
  <c r="P432" i="11"/>
  <c r="Q432" i="11"/>
  <c r="R432" i="11"/>
  <c r="L431" i="11"/>
  <c r="P431" i="11"/>
  <c r="Q431" i="11"/>
  <c r="R431" i="11"/>
  <c r="L430" i="11"/>
  <c r="P430" i="11"/>
  <c r="Q430" i="11"/>
  <c r="R430" i="11"/>
  <c r="L429" i="11"/>
  <c r="P429" i="11"/>
  <c r="Q429" i="11"/>
  <c r="R429" i="11"/>
  <c r="L428" i="11"/>
  <c r="P428" i="11"/>
  <c r="Q428" i="11"/>
  <c r="R428" i="11"/>
  <c r="L427" i="11"/>
  <c r="P427" i="11"/>
  <c r="Q427" i="11"/>
  <c r="R427" i="11"/>
  <c r="L426" i="11"/>
  <c r="P426" i="11"/>
  <c r="Q426" i="11"/>
  <c r="R426" i="11"/>
  <c r="L425" i="11"/>
  <c r="P425" i="11"/>
  <c r="Q425" i="11"/>
  <c r="R425" i="11"/>
  <c r="L424" i="11"/>
  <c r="P424" i="11"/>
  <c r="Q424" i="11"/>
  <c r="R424" i="11"/>
  <c r="L423" i="11"/>
  <c r="P423" i="11"/>
  <c r="Q423" i="11"/>
  <c r="R423" i="11"/>
  <c r="L422" i="11"/>
  <c r="P422" i="11"/>
  <c r="Q422" i="11"/>
  <c r="R422" i="11"/>
  <c r="L421" i="11"/>
  <c r="P421" i="11"/>
  <c r="Q421" i="11"/>
  <c r="R421" i="11"/>
  <c r="L420" i="11"/>
  <c r="P420" i="11"/>
  <c r="Q420" i="11"/>
  <c r="R420" i="11"/>
  <c r="L419" i="11"/>
  <c r="P419" i="11"/>
  <c r="Q419" i="11"/>
  <c r="R419" i="11"/>
  <c r="Q418" i="11"/>
  <c r="R418" i="11"/>
  <c r="L418" i="11"/>
  <c r="P418" i="11"/>
  <c r="L417" i="11"/>
  <c r="P417" i="11"/>
  <c r="Q417" i="11"/>
  <c r="R417" i="11"/>
  <c r="L415" i="11"/>
  <c r="P415" i="11"/>
  <c r="Q415" i="11"/>
  <c r="R415" i="11"/>
  <c r="L414" i="11"/>
  <c r="P414" i="11"/>
  <c r="Q414" i="11"/>
  <c r="R414" i="11"/>
  <c r="L413" i="11"/>
  <c r="P413" i="11"/>
  <c r="Q413" i="11"/>
  <c r="R413" i="11"/>
  <c r="L412" i="11"/>
  <c r="P412" i="11"/>
  <c r="Q412" i="11"/>
  <c r="R412" i="11"/>
  <c r="P411" i="11"/>
  <c r="Q411" i="11"/>
  <c r="R411" i="11"/>
  <c r="L411" i="11"/>
  <c r="Q410" i="11"/>
  <c r="L410" i="11"/>
  <c r="P410" i="11"/>
  <c r="R410" i="11"/>
  <c r="P409" i="11"/>
  <c r="Q409" i="11"/>
  <c r="R409" i="11"/>
  <c r="L409" i="11"/>
  <c r="P408" i="11"/>
  <c r="L408" i="11"/>
  <c r="Q408" i="11"/>
  <c r="R408" i="11"/>
  <c r="P407" i="11"/>
  <c r="R407" i="11"/>
  <c r="L407" i="11"/>
  <c r="Q407" i="11"/>
  <c r="S407" i="11" s="1"/>
  <c r="R406" i="11"/>
  <c r="L406" i="11"/>
  <c r="P406" i="11"/>
  <c r="Q406" i="11"/>
  <c r="S406" i="11" s="1"/>
  <c r="Q405" i="11"/>
  <c r="L405" i="11"/>
  <c r="P405" i="11"/>
  <c r="R405" i="11"/>
  <c r="L404" i="11"/>
  <c r="R404" i="11"/>
  <c r="Q404" i="11"/>
  <c r="P404" i="11"/>
  <c r="Q403" i="11"/>
  <c r="L403" i="11"/>
  <c r="P403" i="11"/>
  <c r="R403" i="11"/>
  <c r="Q402" i="11"/>
  <c r="L402" i="11"/>
  <c r="P402" i="11"/>
  <c r="R402" i="11"/>
  <c r="L401" i="11"/>
  <c r="Q401" i="11"/>
  <c r="P401" i="11"/>
  <c r="R401" i="11"/>
  <c r="Q400" i="11"/>
  <c r="L400" i="11"/>
  <c r="R400" i="11"/>
  <c r="P400" i="11"/>
  <c r="Q399" i="11"/>
  <c r="R399" i="11"/>
  <c r="L399" i="11"/>
  <c r="P399" i="11"/>
  <c r="L398" i="11"/>
  <c r="P398" i="11"/>
  <c r="Q398" i="11"/>
  <c r="R398" i="11"/>
  <c r="L397" i="11"/>
  <c r="P397" i="11"/>
  <c r="Q397" i="11"/>
  <c r="R397" i="11"/>
  <c r="L396" i="11"/>
  <c r="P396" i="11"/>
  <c r="Q396" i="11"/>
  <c r="R396" i="11"/>
  <c r="L395" i="11"/>
  <c r="P395" i="11"/>
  <c r="Q395" i="11"/>
  <c r="R395" i="11"/>
  <c r="L394" i="11"/>
  <c r="P394" i="11"/>
  <c r="Q394" i="11"/>
  <c r="R394" i="11"/>
  <c r="L393" i="11"/>
  <c r="P393" i="11"/>
  <c r="Q393" i="11"/>
  <c r="R393" i="11"/>
  <c r="L392" i="11"/>
  <c r="P392" i="11"/>
  <c r="Q392" i="11"/>
  <c r="R392" i="11"/>
  <c r="L391" i="11"/>
  <c r="P391" i="11"/>
  <c r="Q391" i="11"/>
  <c r="R391" i="11"/>
  <c r="L390" i="11"/>
  <c r="P390" i="11"/>
  <c r="Q390" i="11"/>
  <c r="R390" i="11"/>
  <c r="L389" i="11"/>
  <c r="P389" i="11"/>
  <c r="Q389" i="11"/>
  <c r="R389" i="11"/>
  <c r="Q388" i="11"/>
  <c r="L388" i="11"/>
  <c r="P388" i="11"/>
  <c r="R388" i="11"/>
  <c r="Q387" i="11"/>
  <c r="L387" i="11"/>
  <c r="R387" i="11"/>
  <c r="P387" i="11"/>
  <c r="P386" i="11"/>
  <c r="Q386" i="11"/>
  <c r="L386" i="11"/>
  <c r="R386" i="11"/>
  <c r="R385" i="11"/>
  <c r="Q385" i="11"/>
  <c r="S385" i="11" s="1"/>
  <c r="L385" i="11"/>
  <c r="P385" i="11"/>
  <c r="L384" i="11"/>
  <c r="P384" i="11"/>
  <c r="R384" i="11"/>
  <c r="Q384" i="11"/>
  <c r="S384" i="11" s="1"/>
  <c r="R383" i="11"/>
  <c r="P383" i="11"/>
  <c r="L383" i="11"/>
  <c r="Q383" i="11"/>
  <c r="S383" i="11" s="1"/>
  <c r="P382" i="11"/>
  <c r="R382" i="11"/>
  <c r="L382" i="11"/>
  <c r="Q382" i="11"/>
  <c r="S382" i="11" s="1"/>
  <c r="L381" i="11"/>
  <c r="P381" i="11"/>
  <c r="Q381" i="11"/>
  <c r="R381" i="11"/>
  <c r="L380" i="11"/>
  <c r="P380" i="11"/>
  <c r="Q380" i="11"/>
  <c r="R380" i="11"/>
  <c r="L379" i="11"/>
  <c r="P379" i="11"/>
  <c r="Q379" i="11"/>
  <c r="R379" i="11"/>
  <c r="L378" i="11"/>
  <c r="P378" i="11"/>
  <c r="Q378" i="11"/>
  <c r="R378" i="11"/>
  <c r="L377" i="11"/>
  <c r="P377" i="11"/>
  <c r="Q377" i="11"/>
  <c r="R377" i="11"/>
  <c r="L376" i="11"/>
  <c r="P376" i="11"/>
  <c r="Q376" i="11"/>
  <c r="R376" i="11"/>
  <c r="L375" i="11"/>
  <c r="P375" i="11"/>
  <c r="Q375" i="11"/>
  <c r="R375" i="11"/>
  <c r="P374" i="11"/>
  <c r="L374" i="11"/>
  <c r="R374" i="11"/>
  <c r="Q374" i="11"/>
  <c r="S374" i="11" s="1"/>
  <c r="P373" i="11"/>
  <c r="R373" i="11"/>
  <c r="Q373" i="11"/>
  <c r="S373" i="11" s="1"/>
  <c r="L373" i="11"/>
  <c r="Q372" i="11"/>
  <c r="L372" i="11"/>
  <c r="R372" i="11"/>
  <c r="P372" i="11"/>
  <c r="P371" i="11"/>
  <c r="Q371" i="11"/>
  <c r="L371" i="11"/>
  <c r="R371" i="11"/>
  <c r="Q370" i="11"/>
  <c r="R370" i="11"/>
  <c r="L370" i="11"/>
  <c r="P370" i="11"/>
  <c r="L369" i="11"/>
  <c r="P369" i="11"/>
  <c r="Q369" i="11"/>
  <c r="R369" i="11"/>
  <c r="L368" i="11"/>
  <c r="Q368" i="11"/>
  <c r="R368" i="11"/>
  <c r="P368" i="11"/>
  <c r="P367" i="11"/>
  <c r="R367" i="11"/>
  <c r="L367" i="11"/>
  <c r="Q367" i="11"/>
  <c r="S367" i="11" s="1"/>
  <c r="L366" i="11"/>
  <c r="P366" i="11"/>
  <c r="Q366" i="11"/>
  <c r="R366" i="11"/>
  <c r="L365" i="11"/>
  <c r="P365" i="11"/>
  <c r="Q365" i="11"/>
  <c r="R365" i="11"/>
  <c r="L364" i="11"/>
  <c r="P364" i="11"/>
  <c r="R364" i="11"/>
  <c r="Q364" i="11"/>
  <c r="S364" i="11" s="1"/>
  <c r="L363" i="11"/>
  <c r="P363" i="11"/>
  <c r="Q363" i="11"/>
  <c r="R363" i="11"/>
  <c r="L362" i="11"/>
  <c r="P362" i="11"/>
  <c r="Q362" i="11"/>
  <c r="R362" i="11"/>
  <c r="L361" i="11"/>
  <c r="P361" i="11"/>
  <c r="Q361" i="11"/>
  <c r="R361" i="11"/>
  <c r="L360" i="11"/>
  <c r="P360" i="11"/>
  <c r="Q360" i="11"/>
  <c r="R360" i="11"/>
  <c r="L359" i="11"/>
  <c r="P359" i="11"/>
  <c r="Q359" i="11"/>
  <c r="R359" i="11"/>
  <c r="L358" i="11"/>
  <c r="P358" i="11"/>
  <c r="Q358" i="11"/>
  <c r="R358" i="11"/>
  <c r="P357" i="11"/>
  <c r="Q357" i="11"/>
  <c r="R357" i="11"/>
  <c r="L357" i="11"/>
  <c r="P356" i="11"/>
  <c r="L356" i="11"/>
  <c r="Q356" i="11"/>
  <c r="R356" i="11"/>
  <c r="Q355" i="11"/>
  <c r="L355" i="11"/>
  <c r="P355" i="11"/>
  <c r="R355" i="11"/>
  <c r="L354" i="11"/>
  <c r="P354" i="11"/>
  <c r="R354" i="11"/>
  <c r="Q354" i="11"/>
  <c r="S354" i="11" s="1"/>
  <c r="P353" i="11"/>
  <c r="L353" i="11"/>
  <c r="Q353" i="11"/>
  <c r="R353" i="11"/>
  <c r="P352" i="11"/>
  <c r="L352" i="11"/>
  <c r="R352" i="11"/>
  <c r="Q352" i="11"/>
  <c r="L351" i="11"/>
  <c r="P351" i="11"/>
  <c r="Q351" i="11"/>
  <c r="R351" i="11"/>
  <c r="L350" i="11"/>
  <c r="P350" i="11"/>
  <c r="Q350" i="11"/>
  <c r="R350" i="11"/>
  <c r="P349" i="11"/>
  <c r="Q349" i="11"/>
  <c r="L349" i="11"/>
  <c r="R349" i="11"/>
  <c r="Q348" i="11"/>
  <c r="L348" i="11"/>
  <c r="P348" i="11"/>
  <c r="R348" i="11"/>
  <c r="L346" i="11"/>
  <c r="P346" i="11"/>
  <c r="Q346" i="11"/>
  <c r="R346" i="11"/>
  <c r="L345" i="11"/>
  <c r="P345" i="11"/>
  <c r="Q345" i="11"/>
  <c r="R345" i="11"/>
  <c r="L344" i="11"/>
  <c r="P344" i="11"/>
  <c r="Q344" i="11"/>
  <c r="R344" i="11"/>
  <c r="L343" i="11"/>
  <c r="P343" i="11"/>
  <c r="Q343" i="11"/>
  <c r="R343" i="11"/>
  <c r="L342" i="11"/>
  <c r="P342" i="11"/>
  <c r="Q342" i="11"/>
  <c r="R342" i="11"/>
  <c r="L341" i="11"/>
  <c r="P341" i="11"/>
  <c r="Q341" i="11"/>
  <c r="R341" i="11"/>
  <c r="L340" i="11"/>
  <c r="P340" i="11"/>
  <c r="Q340" i="11"/>
  <c r="R340" i="11"/>
  <c r="L339" i="11"/>
  <c r="P339" i="11"/>
  <c r="Q339" i="11"/>
  <c r="R339" i="11"/>
  <c r="P338" i="11"/>
  <c r="L338" i="11"/>
  <c r="R338" i="11"/>
  <c r="Q338" i="11"/>
  <c r="Q337" i="11"/>
  <c r="L337" i="11"/>
  <c r="P337" i="11"/>
  <c r="R337" i="11"/>
  <c r="P336" i="11"/>
  <c r="Q336" i="11"/>
  <c r="L336" i="11"/>
  <c r="R336" i="11"/>
  <c r="R335" i="11"/>
  <c r="L335" i="11"/>
  <c r="Q335" i="11"/>
  <c r="P335" i="11"/>
  <c r="P334" i="11"/>
  <c r="L334" i="11"/>
  <c r="Q334" i="11"/>
  <c r="R334" i="11"/>
  <c r="R333" i="11"/>
  <c r="P333" i="11"/>
  <c r="L333" i="11"/>
  <c r="Q333" i="11"/>
  <c r="P332" i="11"/>
  <c r="R332" i="11"/>
  <c r="L332" i="11"/>
  <c r="Q332" i="11"/>
  <c r="Q331" i="11"/>
  <c r="L331" i="11"/>
  <c r="P331" i="11"/>
  <c r="R331" i="11"/>
  <c r="L330" i="11"/>
  <c r="P330" i="11"/>
  <c r="Q330" i="11"/>
  <c r="R330" i="11"/>
  <c r="L329" i="11"/>
  <c r="P329" i="11"/>
  <c r="Q329" i="11"/>
  <c r="R329" i="11"/>
  <c r="L328" i="11"/>
  <c r="P328" i="11"/>
  <c r="Q328" i="11"/>
  <c r="R328" i="11"/>
  <c r="L327" i="11"/>
  <c r="P327" i="11"/>
  <c r="Q327" i="11"/>
  <c r="R327" i="11"/>
  <c r="L326" i="11"/>
  <c r="P326" i="11"/>
  <c r="Q326" i="11"/>
  <c r="R326" i="11"/>
  <c r="L325" i="11"/>
  <c r="P325" i="11"/>
  <c r="Q325" i="11"/>
  <c r="R325" i="11"/>
  <c r="L324" i="11"/>
  <c r="P324" i="11"/>
  <c r="Q324" i="11"/>
  <c r="R324" i="11"/>
  <c r="L323" i="11"/>
  <c r="P323" i="11"/>
  <c r="Q323" i="11"/>
  <c r="R323" i="11"/>
  <c r="L322" i="11"/>
  <c r="P322" i="11"/>
  <c r="Q322" i="11"/>
  <c r="R322" i="11"/>
  <c r="L321" i="11"/>
  <c r="P321" i="11"/>
  <c r="Q321" i="11"/>
  <c r="R321" i="11"/>
  <c r="L320" i="11"/>
  <c r="P320" i="11"/>
  <c r="Q320" i="11"/>
  <c r="R320" i="11"/>
  <c r="L319" i="11"/>
  <c r="P319" i="11"/>
  <c r="Q319" i="11"/>
  <c r="R319" i="11"/>
  <c r="L318" i="11"/>
  <c r="P318" i="11"/>
  <c r="Q318" i="11"/>
  <c r="R318" i="11"/>
  <c r="L317" i="11"/>
  <c r="P317" i="11"/>
  <c r="Q317" i="11"/>
  <c r="R317" i="11"/>
  <c r="L316" i="11"/>
  <c r="P316" i="11"/>
  <c r="Q316" i="11"/>
  <c r="R316" i="11"/>
  <c r="L315" i="11"/>
  <c r="P315" i="11"/>
  <c r="Q315" i="11"/>
  <c r="R315" i="11"/>
  <c r="L314" i="11"/>
  <c r="P314" i="11"/>
  <c r="Q314" i="11"/>
  <c r="R314" i="11"/>
  <c r="L313" i="11"/>
  <c r="P313" i="11"/>
  <c r="Q313" i="11"/>
  <c r="R313" i="11"/>
  <c r="L312" i="11"/>
  <c r="P312" i="11"/>
  <c r="Q312" i="11"/>
  <c r="R312" i="11"/>
  <c r="L311" i="11"/>
  <c r="P311" i="11"/>
  <c r="Q311" i="11"/>
  <c r="R311" i="11"/>
  <c r="L310" i="11"/>
  <c r="P310" i="11"/>
  <c r="Q310" i="11"/>
  <c r="R310" i="11"/>
  <c r="L309" i="11"/>
  <c r="P309" i="11"/>
  <c r="Q309" i="11"/>
  <c r="R309" i="11"/>
  <c r="L308" i="11"/>
  <c r="P308" i="11"/>
  <c r="Q308" i="11"/>
  <c r="R308" i="11"/>
  <c r="L307" i="11"/>
  <c r="P307" i="11"/>
  <c r="Q307" i="11"/>
  <c r="R307" i="11"/>
  <c r="L306" i="11"/>
  <c r="P306" i="11"/>
  <c r="Q306" i="11"/>
  <c r="R306" i="11"/>
  <c r="L305" i="11"/>
  <c r="P305" i="11"/>
  <c r="Q305" i="11"/>
  <c r="R305" i="11"/>
  <c r="L304" i="11"/>
  <c r="P304" i="11"/>
  <c r="Q304" i="11"/>
  <c r="R304" i="11"/>
  <c r="L303" i="11"/>
  <c r="P303" i="11"/>
  <c r="Q303" i="11"/>
  <c r="R303" i="11"/>
  <c r="L302" i="11"/>
  <c r="P302" i="11"/>
  <c r="Q302" i="11"/>
  <c r="R302" i="11"/>
  <c r="L301" i="11"/>
  <c r="P301" i="11"/>
  <c r="Q301" i="11"/>
  <c r="R301" i="11"/>
  <c r="L300" i="11"/>
  <c r="P300" i="11"/>
  <c r="Q300" i="11"/>
  <c r="R300" i="11"/>
  <c r="L299" i="11"/>
  <c r="P299" i="11"/>
  <c r="Q299" i="11"/>
  <c r="R299" i="11"/>
  <c r="L298" i="11"/>
  <c r="P298" i="11"/>
  <c r="Q298" i="11"/>
  <c r="R298" i="11"/>
  <c r="L297" i="11"/>
  <c r="P297" i="11"/>
  <c r="Q297" i="11"/>
  <c r="R297" i="11"/>
  <c r="L296" i="11"/>
  <c r="P296" i="11"/>
  <c r="Q296" i="11"/>
  <c r="R296" i="11"/>
  <c r="L295" i="11"/>
  <c r="P295" i="11"/>
  <c r="Q295" i="11"/>
  <c r="R295" i="11"/>
  <c r="L294" i="11"/>
  <c r="P294" i="11"/>
  <c r="Q294" i="11"/>
  <c r="R294" i="11"/>
  <c r="L293" i="11"/>
  <c r="P293" i="11"/>
  <c r="Q293" i="11"/>
  <c r="R293" i="11"/>
  <c r="L292" i="11"/>
  <c r="P292" i="11"/>
  <c r="Q292" i="11"/>
  <c r="R292" i="11"/>
  <c r="L291" i="11"/>
  <c r="P291" i="11"/>
  <c r="Q291" i="11"/>
  <c r="R291" i="11"/>
  <c r="L290" i="11"/>
  <c r="P290" i="11"/>
  <c r="Q290" i="11"/>
  <c r="R290" i="11"/>
  <c r="L289" i="11"/>
  <c r="P289" i="11"/>
  <c r="Q289" i="11"/>
  <c r="R289" i="11"/>
  <c r="L288" i="11"/>
  <c r="P288" i="11"/>
  <c r="Q288" i="11"/>
  <c r="R288" i="11"/>
  <c r="L287" i="11"/>
  <c r="P287" i="11"/>
  <c r="Q287" i="11"/>
  <c r="R287" i="11"/>
  <c r="L286" i="11"/>
  <c r="P286" i="11"/>
  <c r="Q286" i="11"/>
  <c r="R286" i="11"/>
  <c r="L285" i="11"/>
  <c r="P285" i="11"/>
  <c r="Q285" i="11"/>
  <c r="R285" i="11"/>
  <c r="L284" i="11"/>
  <c r="P284" i="11"/>
  <c r="Q284" i="11"/>
  <c r="R284" i="11"/>
  <c r="L283" i="11"/>
  <c r="P283" i="11"/>
  <c r="Q283" i="11"/>
  <c r="R283" i="11"/>
  <c r="L282" i="11"/>
  <c r="P282" i="11"/>
  <c r="Q282" i="11"/>
  <c r="R282" i="11"/>
  <c r="L281" i="11"/>
  <c r="P281" i="11"/>
  <c r="Q281" i="11"/>
  <c r="R281" i="11"/>
  <c r="L280" i="11"/>
  <c r="P280" i="11"/>
  <c r="Q280" i="11"/>
  <c r="R280" i="11"/>
  <c r="L279" i="11"/>
  <c r="P279" i="11"/>
  <c r="Q279" i="11"/>
  <c r="R279" i="11"/>
  <c r="L277" i="11"/>
  <c r="P277" i="11"/>
  <c r="Q277" i="11"/>
  <c r="R277" i="11"/>
  <c r="L276" i="11"/>
  <c r="P276" i="11"/>
  <c r="Q276" i="11"/>
  <c r="R276" i="11"/>
  <c r="L275" i="11"/>
  <c r="P275" i="11"/>
  <c r="Q275" i="11"/>
  <c r="R275" i="11"/>
  <c r="L274" i="11"/>
  <c r="P274" i="11"/>
  <c r="Q274" i="11"/>
  <c r="R274" i="11"/>
  <c r="L273" i="11"/>
  <c r="P273" i="11"/>
  <c r="Q273" i="11"/>
  <c r="R273" i="11"/>
  <c r="L272" i="11"/>
  <c r="P272" i="11"/>
  <c r="Q272" i="11"/>
  <c r="R272" i="11"/>
  <c r="L270" i="11"/>
  <c r="Q270" i="11"/>
  <c r="P270" i="11"/>
  <c r="R270" i="11"/>
  <c r="L269" i="11"/>
  <c r="Q269" i="11"/>
  <c r="P269" i="11"/>
  <c r="R269" i="11"/>
  <c r="L268" i="11"/>
  <c r="P268" i="11"/>
  <c r="R268" i="11"/>
  <c r="Q268" i="11"/>
  <c r="S268" i="11" s="1"/>
  <c r="L267" i="11"/>
  <c r="P267" i="11"/>
  <c r="Q267" i="11"/>
  <c r="R267" i="11"/>
  <c r="L266" i="11"/>
  <c r="P266" i="11"/>
  <c r="Q266" i="11"/>
  <c r="R266" i="11"/>
  <c r="L265" i="11"/>
  <c r="P265" i="11"/>
  <c r="Q265" i="11"/>
  <c r="R265" i="11"/>
  <c r="L264" i="11"/>
  <c r="P264" i="11"/>
  <c r="Q264" i="11"/>
  <c r="R264" i="11"/>
  <c r="L263" i="11"/>
  <c r="P263" i="11"/>
  <c r="Q263" i="11"/>
  <c r="R263" i="11"/>
  <c r="L262" i="11"/>
  <c r="P262" i="11"/>
  <c r="Q262" i="11"/>
  <c r="R262" i="11"/>
  <c r="L261" i="11"/>
  <c r="P261" i="11"/>
  <c r="Q261" i="11"/>
  <c r="R261" i="11"/>
  <c r="L260" i="11"/>
  <c r="P260" i="11"/>
  <c r="Q260" i="11"/>
  <c r="R260" i="11"/>
  <c r="L259" i="11"/>
  <c r="P259" i="11"/>
  <c r="Q259" i="11"/>
  <c r="R259" i="11"/>
  <c r="L258" i="11"/>
  <c r="P258" i="11"/>
  <c r="Q258" i="11"/>
  <c r="R258" i="11"/>
  <c r="L257" i="11"/>
  <c r="P257" i="11"/>
  <c r="Q257" i="11"/>
  <c r="R257" i="11"/>
  <c r="L256" i="11"/>
  <c r="P256" i="11"/>
  <c r="Q256" i="11"/>
  <c r="R256" i="11"/>
  <c r="L255" i="11"/>
  <c r="P255" i="11"/>
  <c r="Q255" i="11"/>
  <c r="R255" i="11"/>
  <c r="L254" i="11"/>
  <c r="P254" i="11"/>
  <c r="Q254" i="11"/>
  <c r="R254" i="11"/>
  <c r="L253" i="11"/>
  <c r="P253" i="11"/>
  <c r="Q253" i="11"/>
  <c r="R253" i="11"/>
  <c r="L252" i="11"/>
  <c r="P252" i="11"/>
  <c r="Q252" i="11"/>
  <c r="R252" i="11"/>
  <c r="L251" i="11"/>
  <c r="P251" i="11"/>
  <c r="Q251" i="11"/>
  <c r="R251" i="11"/>
  <c r="L250" i="11"/>
  <c r="P250" i="11"/>
  <c r="Q250" i="11"/>
  <c r="R250" i="11"/>
  <c r="L249" i="11"/>
  <c r="P249" i="11"/>
  <c r="Q249" i="11"/>
  <c r="R249" i="11"/>
  <c r="L248" i="11"/>
  <c r="P248" i="11"/>
  <c r="Q248" i="11"/>
  <c r="R248" i="11"/>
  <c r="L247" i="11"/>
  <c r="P247" i="11"/>
  <c r="Q247" i="11"/>
  <c r="R247" i="11"/>
  <c r="L246" i="11"/>
  <c r="P246" i="11"/>
  <c r="Q246" i="11"/>
  <c r="R246" i="11"/>
  <c r="L245" i="11"/>
  <c r="P245" i="11"/>
  <c r="Q245" i="11"/>
  <c r="R245" i="11"/>
  <c r="L244" i="11"/>
  <c r="P244" i="11"/>
  <c r="Q244" i="11"/>
  <c r="R244" i="11"/>
  <c r="L243" i="11"/>
  <c r="P243" i="11"/>
  <c r="Q243" i="11"/>
  <c r="R243" i="11"/>
  <c r="L242" i="11"/>
  <c r="P242" i="11"/>
  <c r="Q242" i="11"/>
  <c r="R242" i="11"/>
  <c r="L241" i="11"/>
  <c r="P241" i="11"/>
  <c r="Q241" i="11"/>
  <c r="R241" i="11"/>
  <c r="L240" i="11"/>
  <c r="P240" i="11"/>
  <c r="Q240" i="11"/>
  <c r="R240" i="11"/>
  <c r="L239" i="11"/>
  <c r="P239" i="11"/>
  <c r="Q239" i="11"/>
  <c r="R239" i="11"/>
  <c r="L238" i="11"/>
  <c r="P238" i="11"/>
  <c r="Q238" i="11"/>
  <c r="R238" i="11"/>
  <c r="L237" i="11"/>
  <c r="P237" i="11"/>
  <c r="Q237" i="11"/>
  <c r="R237" i="11"/>
  <c r="L236" i="11"/>
  <c r="P236" i="11"/>
  <c r="Q236" i="11"/>
  <c r="R236" i="11"/>
  <c r="L235" i="11"/>
  <c r="P235" i="11"/>
  <c r="Q235" i="11"/>
  <c r="R235" i="11"/>
  <c r="L234" i="11"/>
  <c r="P234" i="11"/>
  <c r="Q234" i="11"/>
  <c r="R234" i="11"/>
  <c r="L233" i="11"/>
  <c r="P233" i="11"/>
  <c r="Q233" i="11"/>
  <c r="R233" i="11"/>
  <c r="L232" i="11"/>
  <c r="P232" i="11"/>
  <c r="Q232" i="11"/>
  <c r="R232" i="11"/>
  <c r="L231" i="11"/>
  <c r="P231" i="11"/>
  <c r="Q231" i="11"/>
  <c r="R231" i="11"/>
  <c r="L230" i="11"/>
  <c r="P230" i="11"/>
  <c r="Q230" i="11"/>
  <c r="R230" i="11"/>
  <c r="L229" i="11"/>
  <c r="P229" i="11"/>
  <c r="Q229" i="11"/>
  <c r="R229" i="11"/>
  <c r="L228" i="11"/>
  <c r="P228" i="11"/>
  <c r="Q228" i="11"/>
  <c r="R228" i="11"/>
  <c r="L227" i="11"/>
  <c r="P227" i="11"/>
  <c r="Q227" i="11"/>
  <c r="R227" i="11"/>
  <c r="L226" i="11"/>
  <c r="P226" i="11"/>
  <c r="Q226" i="11"/>
  <c r="R226" i="11"/>
  <c r="L225" i="11"/>
  <c r="P225" i="11"/>
  <c r="Q225" i="11"/>
  <c r="R225" i="11"/>
  <c r="L224" i="11"/>
  <c r="P224" i="11"/>
  <c r="Q224" i="11"/>
  <c r="R224" i="11"/>
  <c r="L223" i="11"/>
  <c r="P223" i="11"/>
  <c r="Q223" i="11"/>
  <c r="R223" i="11"/>
  <c r="L222" i="11"/>
  <c r="P222" i="11"/>
  <c r="Q222" i="11"/>
  <c r="R222" i="11"/>
  <c r="L221" i="11"/>
  <c r="P221" i="11"/>
  <c r="Q221" i="11"/>
  <c r="R221" i="11"/>
  <c r="L220" i="11"/>
  <c r="P220" i="11"/>
  <c r="Q220" i="11"/>
  <c r="R220" i="11"/>
  <c r="L219" i="11"/>
  <c r="P219" i="11"/>
  <c r="Q219" i="11"/>
  <c r="R219" i="11"/>
  <c r="L218" i="11"/>
  <c r="P218" i="11"/>
  <c r="Q218" i="11"/>
  <c r="R218" i="11"/>
  <c r="L217" i="11"/>
  <c r="P217" i="11"/>
  <c r="Q217" i="11"/>
  <c r="R217" i="11"/>
  <c r="L216" i="11"/>
  <c r="P216" i="11"/>
  <c r="Q216" i="11"/>
  <c r="R216" i="11"/>
  <c r="L215" i="11"/>
  <c r="P215" i="11"/>
  <c r="Q215" i="11"/>
  <c r="R215" i="11"/>
  <c r="L214" i="11"/>
  <c r="P214" i="11"/>
  <c r="Q214" i="11"/>
  <c r="R214" i="11"/>
  <c r="L213" i="11"/>
  <c r="P213" i="11"/>
  <c r="Q213" i="11"/>
  <c r="R213" i="11"/>
  <c r="L212" i="11"/>
  <c r="P212" i="11"/>
  <c r="Q212" i="11"/>
  <c r="R212" i="11"/>
  <c r="L211" i="11"/>
  <c r="P211" i="11"/>
  <c r="Q211" i="11"/>
  <c r="R211" i="11"/>
  <c r="L210" i="11"/>
  <c r="P210" i="11"/>
  <c r="Q210" i="11"/>
  <c r="R210" i="11"/>
  <c r="L209" i="11"/>
  <c r="P209" i="11"/>
  <c r="Q209" i="11"/>
  <c r="R209" i="11"/>
  <c r="L208" i="11"/>
  <c r="P208" i="11"/>
  <c r="Q208" i="11"/>
  <c r="R208" i="11"/>
  <c r="L207" i="11"/>
  <c r="P207" i="11"/>
  <c r="Q207" i="11"/>
  <c r="R207" i="11"/>
  <c r="L206" i="11"/>
  <c r="P206" i="11"/>
  <c r="Q206" i="11"/>
  <c r="R206" i="11"/>
  <c r="L205" i="11"/>
  <c r="P205" i="11"/>
  <c r="Q205" i="11"/>
  <c r="R205" i="11"/>
  <c r="L204" i="11"/>
  <c r="P204" i="11"/>
  <c r="Q204" i="11"/>
  <c r="R204" i="11"/>
  <c r="L203" i="11"/>
  <c r="P203" i="11"/>
  <c r="Q203" i="11"/>
  <c r="R203" i="11"/>
  <c r="L202" i="11"/>
  <c r="P202" i="11"/>
  <c r="Q202" i="11"/>
  <c r="R202" i="11"/>
  <c r="L201" i="11"/>
  <c r="P201" i="11"/>
  <c r="Q201" i="11"/>
  <c r="R201" i="11"/>
  <c r="L200" i="11"/>
  <c r="P200" i="11"/>
  <c r="Q200" i="11"/>
  <c r="R200" i="11"/>
  <c r="L199" i="11"/>
  <c r="P199" i="11"/>
  <c r="Q199" i="11"/>
  <c r="R199" i="11"/>
  <c r="L198" i="11"/>
  <c r="P198" i="11"/>
  <c r="Q198" i="11"/>
  <c r="R198" i="11"/>
  <c r="L197" i="11"/>
  <c r="P197" i="11"/>
  <c r="Q197" i="11"/>
  <c r="R197" i="11"/>
  <c r="L196" i="11"/>
  <c r="P196" i="11"/>
  <c r="Q196" i="11"/>
  <c r="R196" i="11"/>
  <c r="L195" i="11"/>
  <c r="P195" i="11"/>
  <c r="Q195" i="11"/>
  <c r="R195" i="11"/>
  <c r="L194" i="11"/>
  <c r="P194" i="11"/>
  <c r="Q194" i="11"/>
  <c r="R194" i="11"/>
  <c r="L193" i="11"/>
  <c r="P193" i="11"/>
  <c r="Q193" i="11"/>
  <c r="R193" i="11"/>
  <c r="L192" i="11"/>
  <c r="P192" i="11"/>
  <c r="Q192" i="11"/>
  <c r="R192" i="11"/>
  <c r="L191" i="11"/>
  <c r="P191" i="11"/>
  <c r="Q191" i="11"/>
  <c r="R191" i="11"/>
  <c r="L190" i="11"/>
  <c r="P190" i="11"/>
  <c r="Q190" i="11"/>
  <c r="R190" i="11"/>
  <c r="L189" i="11"/>
  <c r="P189" i="11"/>
  <c r="Q189" i="11"/>
  <c r="R189" i="11"/>
  <c r="L188" i="11"/>
  <c r="P188" i="11"/>
  <c r="Q188" i="11"/>
  <c r="R188" i="11"/>
  <c r="L187" i="11"/>
  <c r="P187" i="11"/>
  <c r="Q187" i="11"/>
  <c r="R187" i="11"/>
  <c r="L186" i="11"/>
  <c r="P186" i="11"/>
  <c r="Q186" i="11"/>
  <c r="R186" i="11"/>
  <c r="L185" i="11"/>
  <c r="P185" i="11"/>
  <c r="Q185" i="11"/>
  <c r="R185" i="11"/>
  <c r="L184" i="11"/>
  <c r="P184" i="11"/>
  <c r="Q184" i="11"/>
  <c r="R184" i="11"/>
  <c r="L183" i="11"/>
  <c r="P183" i="11"/>
  <c r="Q183" i="11"/>
  <c r="R183" i="11"/>
  <c r="L182" i="11"/>
  <c r="P182" i="11"/>
  <c r="Q182" i="11"/>
  <c r="R182" i="11"/>
  <c r="L181" i="11"/>
  <c r="P181" i="11"/>
  <c r="Q181" i="11"/>
  <c r="R181" i="11"/>
  <c r="L180" i="11"/>
  <c r="P180" i="11"/>
  <c r="Q180" i="11"/>
  <c r="R180" i="11"/>
  <c r="L179" i="11"/>
  <c r="P179" i="11"/>
  <c r="Q179" i="11"/>
  <c r="R179" i="11"/>
  <c r="L178" i="11"/>
  <c r="Q178" i="11"/>
  <c r="R178" i="11"/>
  <c r="P178" i="11"/>
  <c r="L177" i="11"/>
  <c r="P177" i="11"/>
  <c r="Q177" i="11"/>
  <c r="R177" i="11"/>
  <c r="L176" i="11"/>
  <c r="Q176" i="11"/>
  <c r="P176" i="11"/>
  <c r="R176" i="11"/>
  <c r="L175" i="11"/>
  <c r="P175" i="11"/>
  <c r="R175" i="11"/>
  <c r="Q175" i="11"/>
  <c r="L174" i="11"/>
  <c r="P174" i="11"/>
  <c r="Q174" i="11"/>
  <c r="R174" i="11"/>
  <c r="L173" i="11"/>
  <c r="P173" i="11"/>
  <c r="Q173" i="11"/>
  <c r="R173" i="11"/>
  <c r="L172" i="11"/>
  <c r="P172" i="11"/>
  <c r="Q172" i="11"/>
  <c r="R172" i="11"/>
  <c r="L171" i="11"/>
  <c r="P171" i="11"/>
  <c r="Q171" i="11"/>
  <c r="R171" i="11"/>
  <c r="L170" i="11"/>
  <c r="P170" i="11"/>
  <c r="Q170" i="11"/>
  <c r="R170" i="11"/>
  <c r="L169" i="11"/>
  <c r="P169" i="11"/>
  <c r="Q169" i="11"/>
  <c r="R169" i="11"/>
  <c r="L168" i="11"/>
  <c r="P168" i="11"/>
  <c r="Q168" i="11"/>
  <c r="R168" i="11"/>
  <c r="L167" i="11"/>
  <c r="P167" i="11"/>
  <c r="Q167" i="11"/>
  <c r="R167" i="11"/>
  <c r="L166" i="11"/>
  <c r="P166" i="11"/>
  <c r="Q166" i="11"/>
  <c r="R166" i="11"/>
  <c r="L165" i="11"/>
  <c r="P165" i="11"/>
  <c r="Q165" i="11"/>
  <c r="R165" i="11"/>
  <c r="L164" i="11"/>
  <c r="P164" i="11"/>
  <c r="Q164" i="11"/>
  <c r="R164" i="11"/>
  <c r="L163" i="11"/>
  <c r="P163" i="11"/>
  <c r="Q163" i="11"/>
  <c r="R163" i="11"/>
  <c r="L162" i="11"/>
  <c r="P162" i="11"/>
  <c r="Q162" i="11"/>
  <c r="R162" i="11"/>
  <c r="L161" i="11"/>
  <c r="P161" i="11"/>
  <c r="Q161" i="11"/>
  <c r="R161" i="11"/>
  <c r="L160" i="11"/>
  <c r="P160" i="11"/>
  <c r="Q160" i="11"/>
  <c r="R160" i="11"/>
  <c r="L159" i="11"/>
  <c r="P159" i="11"/>
  <c r="Q159" i="11"/>
  <c r="R159" i="11"/>
  <c r="L158" i="11"/>
  <c r="P158" i="11"/>
  <c r="Q158" i="11"/>
  <c r="R158" i="11"/>
  <c r="L157" i="11"/>
  <c r="P157" i="11"/>
  <c r="Q157" i="11"/>
  <c r="R157" i="11"/>
  <c r="L156" i="11"/>
  <c r="P156" i="11"/>
  <c r="Q156" i="11"/>
  <c r="R156" i="11"/>
  <c r="L155" i="11"/>
  <c r="P155" i="11"/>
  <c r="Q155" i="11"/>
  <c r="R155" i="11"/>
  <c r="L154" i="11"/>
  <c r="P154" i="11"/>
  <c r="Q154" i="11"/>
  <c r="R154" i="11"/>
  <c r="L153" i="11"/>
  <c r="P153" i="11"/>
  <c r="Q153" i="11"/>
  <c r="R153" i="11"/>
  <c r="L152" i="11"/>
  <c r="P152" i="11"/>
  <c r="Q152" i="11"/>
  <c r="R152" i="11"/>
  <c r="L151" i="11"/>
  <c r="P151" i="11"/>
  <c r="Q151" i="11"/>
  <c r="R151" i="11"/>
  <c r="L150" i="11"/>
  <c r="P150" i="11"/>
  <c r="Q150" i="11"/>
  <c r="R150" i="11"/>
  <c r="L149" i="11"/>
  <c r="P149" i="11"/>
  <c r="Q149" i="11"/>
  <c r="R149" i="11"/>
  <c r="L148" i="11"/>
  <c r="P148" i="11"/>
  <c r="Q148" i="11"/>
  <c r="R148" i="11"/>
  <c r="L147" i="11"/>
  <c r="P147" i="11"/>
  <c r="Q147" i="11"/>
  <c r="R147" i="11"/>
  <c r="L146" i="11"/>
  <c r="P146" i="11"/>
  <c r="Q146" i="11"/>
  <c r="R146" i="11"/>
  <c r="L145" i="11"/>
  <c r="P145" i="11"/>
  <c r="Q145" i="11"/>
  <c r="R145" i="11"/>
  <c r="L144" i="11"/>
  <c r="P144" i="11"/>
  <c r="Q144" i="11"/>
  <c r="R144" i="11"/>
  <c r="L143" i="11"/>
  <c r="P143" i="11"/>
  <c r="Q143" i="11"/>
  <c r="R143" i="11"/>
  <c r="L142" i="11"/>
  <c r="P142" i="11"/>
  <c r="Q142" i="11"/>
  <c r="R142" i="11"/>
  <c r="L141" i="11"/>
  <c r="P141" i="11"/>
  <c r="Q141" i="11"/>
  <c r="R141" i="11"/>
  <c r="L140" i="11"/>
  <c r="P140" i="11"/>
  <c r="Q140" i="11"/>
  <c r="R140" i="11"/>
  <c r="L139" i="11"/>
  <c r="P139" i="11"/>
  <c r="Q139" i="11"/>
  <c r="R139" i="11"/>
  <c r="L138" i="11"/>
  <c r="P138" i="11"/>
  <c r="Q138" i="11"/>
  <c r="R138" i="11"/>
  <c r="L137" i="11"/>
  <c r="P137" i="11"/>
  <c r="Q137" i="11"/>
  <c r="R137" i="11"/>
  <c r="L136" i="11"/>
  <c r="P136" i="11"/>
  <c r="Q136" i="11"/>
  <c r="R136" i="11"/>
  <c r="L135" i="11"/>
  <c r="P135" i="11"/>
  <c r="Q135" i="11"/>
  <c r="R135" i="11"/>
  <c r="L134" i="11"/>
  <c r="P134" i="11"/>
  <c r="Q134" i="11"/>
  <c r="R134" i="11"/>
  <c r="L133" i="11"/>
  <c r="P133" i="11"/>
  <c r="Q133" i="11"/>
  <c r="R133" i="11"/>
  <c r="L132" i="11"/>
  <c r="P132" i="11"/>
  <c r="Q132" i="11"/>
  <c r="R132" i="11"/>
  <c r="L131" i="11"/>
  <c r="P131" i="11"/>
  <c r="Q131" i="11"/>
  <c r="R131" i="11"/>
  <c r="L130" i="11"/>
  <c r="P130" i="11"/>
  <c r="Q130" i="11"/>
  <c r="R130" i="11"/>
  <c r="L129" i="11"/>
  <c r="P129" i="11"/>
  <c r="Q129" i="11"/>
  <c r="R129" i="11"/>
  <c r="L128" i="11"/>
  <c r="P128" i="11"/>
  <c r="Q128" i="11"/>
  <c r="R128" i="11"/>
  <c r="L127" i="11"/>
  <c r="P127" i="11"/>
  <c r="Q127" i="11"/>
  <c r="R127" i="11"/>
  <c r="L125" i="11"/>
  <c r="P125" i="11"/>
  <c r="Q125" i="11"/>
  <c r="R125" i="11"/>
  <c r="L124" i="11"/>
  <c r="P124" i="11"/>
  <c r="Q124" i="11"/>
  <c r="R124" i="11"/>
  <c r="L123" i="11"/>
  <c r="P123" i="11"/>
  <c r="Q123" i="11"/>
  <c r="R123" i="11"/>
  <c r="L122" i="11"/>
  <c r="P122" i="11"/>
  <c r="Q122" i="11"/>
  <c r="R122" i="11"/>
  <c r="L121" i="11"/>
  <c r="P121" i="11"/>
  <c r="Q121" i="11"/>
  <c r="R121" i="11"/>
  <c r="L120" i="11"/>
  <c r="P120" i="11"/>
  <c r="Q120" i="11"/>
  <c r="R120" i="11"/>
  <c r="L119" i="11"/>
  <c r="P119" i="11"/>
  <c r="Q119" i="11"/>
  <c r="R119" i="11"/>
  <c r="L118" i="11"/>
  <c r="P118" i="11"/>
  <c r="Q118" i="11"/>
  <c r="R118" i="11"/>
  <c r="L117" i="11"/>
  <c r="P117" i="11"/>
  <c r="Q117" i="11"/>
  <c r="R117" i="11"/>
  <c r="Q116" i="11"/>
  <c r="P116" i="11"/>
  <c r="L116" i="11"/>
  <c r="R116" i="11"/>
  <c r="P115" i="11"/>
  <c r="Q115" i="11"/>
  <c r="R115" i="11"/>
  <c r="L115" i="11"/>
  <c r="L114" i="11"/>
  <c r="P114" i="11"/>
  <c r="Q114" i="11"/>
  <c r="R114" i="11"/>
  <c r="R113" i="11"/>
  <c r="P113" i="11"/>
  <c r="L113" i="11"/>
  <c r="Q113" i="11"/>
  <c r="S113" i="11" s="1"/>
  <c r="L112" i="11"/>
  <c r="P112" i="11"/>
  <c r="R112" i="11"/>
  <c r="Q112" i="11"/>
  <c r="S112" i="11" s="1"/>
  <c r="Q111" i="11"/>
  <c r="L111" i="11"/>
  <c r="R111" i="11"/>
  <c r="P111" i="11"/>
  <c r="L110" i="11"/>
  <c r="P110" i="11"/>
  <c r="Q110" i="11"/>
  <c r="R110" i="11"/>
  <c r="P109" i="11"/>
  <c r="R109" i="11"/>
  <c r="L109" i="11"/>
  <c r="Q109" i="11"/>
  <c r="S109" i="11" s="1"/>
  <c r="R108" i="11"/>
  <c r="L108" i="11"/>
  <c r="Q108" i="11"/>
  <c r="P108" i="11"/>
  <c r="P107" i="11"/>
  <c r="Q107" i="11"/>
  <c r="L107" i="11"/>
  <c r="R107" i="11"/>
  <c r="Q106" i="11"/>
  <c r="R106" i="11"/>
  <c r="L106" i="11"/>
  <c r="P106" i="11"/>
  <c r="L105" i="11"/>
  <c r="P105" i="11"/>
  <c r="Q105" i="11"/>
  <c r="R105" i="11"/>
  <c r="L104" i="11"/>
  <c r="P104" i="11"/>
  <c r="Q104" i="11"/>
  <c r="R104" i="11"/>
  <c r="L103" i="11"/>
  <c r="P103" i="11"/>
  <c r="Q103" i="11"/>
  <c r="R103" i="11"/>
  <c r="L102" i="11"/>
  <c r="P102" i="11"/>
  <c r="Q102" i="11"/>
  <c r="R102" i="11"/>
  <c r="L101" i="11"/>
  <c r="P101" i="11"/>
  <c r="Q101" i="11"/>
  <c r="R101" i="11"/>
  <c r="L100" i="11"/>
  <c r="P100" i="11"/>
  <c r="Q100" i="11"/>
  <c r="R100" i="11"/>
  <c r="L99" i="11"/>
  <c r="P99" i="11"/>
  <c r="Q99" i="11"/>
  <c r="R99" i="11"/>
  <c r="L98" i="11"/>
  <c r="P98" i="11"/>
  <c r="Q98" i="11"/>
  <c r="R98" i="11"/>
  <c r="L97" i="11"/>
  <c r="P97" i="11"/>
  <c r="Q97" i="11"/>
  <c r="R97" i="11"/>
  <c r="L96" i="11"/>
  <c r="P96" i="11"/>
  <c r="Q96" i="11"/>
  <c r="R96" i="11"/>
  <c r="L95" i="11"/>
  <c r="P95" i="11"/>
  <c r="Q95" i="11"/>
  <c r="R95" i="11"/>
  <c r="L94" i="11"/>
  <c r="P94" i="11"/>
  <c r="Q94" i="11"/>
  <c r="R94" i="11"/>
  <c r="L93" i="11"/>
  <c r="P93" i="11"/>
  <c r="Q93" i="11"/>
  <c r="R93" i="11"/>
  <c r="L92" i="11"/>
  <c r="P92" i="11"/>
  <c r="Q92" i="11"/>
  <c r="R92" i="11"/>
  <c r="L91" i="11"/>
  <c r="P91" i="11"/>
  <c r="Q91" i="11"/>
  <c r="R91" i="11"/>
  <c r="L90" i="11"/>
  <c r="P90" i="11"/>
  <c r="Q90" i="11"/>
  <c r="R90" i="11"/>
  <c r="L89" i="11"/>
  <c r="P89" i="11"/>
  <c r="Q89" i="11"/>
  <c r="R89" i="11"/>
  <c r="L88" i="11"/>
  <c r="P88" i="11"/>
  <c r="Q88" i="11"/>
  <c r="R88" i="11"/>
  <c r="L87" i="11"/>
  <c r="P87" i="11"/>
  <c r="Q87" i="11"/>
  <c r="R87" i="11"/>
  <c r="L86" i="11"/>
  <c r="P86" i="11"/>
  <c r="Q86" i="11"/>
  <c r="R86" i="11"/>
  <c r="L85" i="11"/>
  <c r="P85" i="11"/>
  <c r="Q85" i="11"/>
  <c r="R85" i="11"/>
  <c r="L84" i="11"/>
  <c r="P84" i="11"/>
  <c r="Q84" i="11"/>
  <c r="R84" i="11"/>
  <c r="L83" i="11"/>
  <c r="P83" i="11"/>
  <c r="Q83" i="11"/>
  <c r="R83" i="11"/>
  <c r="L82" i="11"/>
  <c r="P82" i="11"/>
  <c r="Q82" i="11"/>
  <c r="R82" i="11"/>
  <c r="Q81" i="11"/>
  <c r="R81" i="11"/>
  <c r="L81" i="11"/>
  <c r="P81" i="11"/>
  <c r="P80" i="11"/>
  <c r="Q80" i="11"/>
  <c r="L80" i="11"/>
  <c r="R80" i="11"/>
  <c r="Q79" i="11"/>
  <c r="L79" i="11"/>
  <c r="P79" i="11"/>
  <c r="R79" i="11"/>
  <c r="Q78" i="11"/>
  <c r="R78" i="11"/>
  <c r="L78" i="11"/>
  <c r="P78" i="11"/>
  <c r="Q77" i="11"/>
  <c r="L77" i="11"/>
  <c r="P77" i="11"/>
  <c r="R77" i="11"/>
  <c r="R76" i="11"/>
  <c r="P76" i="11"/>
  <c r="L76" i="11"/>
  <c r="Q76" i="11"/>
  <c r="R75" i="11"/>
  <c r="L75" i="11"/>
  <c r="P75" i="11"/>
  <c r="Q75" i="11"/>
  <c r="S75" i="11" s="1"/>
  <c r="P74" i="11"/>
  <c r="L74" i="11"/>
  <c r="Q74" i="11"/>
  <c r="R74" i="11"/>
  <c r="P73" i="11"/>
  <c r="R73" i="11"/>
  <c r="L73" i="11"/>
  <c r="Q73" i="11"/>
  <c r="S73" i="11" s="1"/>
  <c r="L72" i="11"/>
  <c r="P72" i="11"/>
  <c r="R72" i="11"/>
  <c r="Q72" i="11"/>
  <c r="S72" i="11" s="1"/>
  <c r="L71" i="11"/>
  <c r="Q71" i="11"/>
  <c r="P71" i="11"/>
  <c r="R71" i="11"/>
  <c r="L70" i="11"/>
  <c r="P70" i="11"/>
  <c r="Q70" i="11"/>
  <c r="R70" i="11"/>
  <c r="L69" i="11"/>
  <c r="P69" i="11"/>
  <c r="Q69" i="11"/>
  <c r="R69" i="11"/>
  <c r="L68" i="11"/>
  <c r="P68" i="11"/>
  <c r="Q68" i="11"/>
  <c r="R68" i="11"/>
  <c r="L67" i="11"/>
  <c r="P67" i="11"/>
  <c r="Q67" i="11"/>
  <c r="R67" i="11"/>
  <c r="L66" i="11"/>
  <c r="P66" i="11"/>
  <c r="Q66" i="11"/>
  <c r="R66" i="11"/>
  <c r="L65" i="11"/>
  <c r="P65" i="11"/>
  <c r="Q65" i="11"/>
  <c r="R65" i="11"/>
  <c r="P64" i="11"/>
  <c r="L64" i="11"/>
  <c r="Q64" i="11"/>
  <c r="R64" i="11"/>
  <c r="R63" i="11"/>
  <c r="Q63" i="11"/>
  <c r="S63" i="11" s="1"/>
  <c r="L63" i="11"/>
  <c r="P63" i="11"/>
  <c r="P62" i="11"/>
  <c r="Q62" i="11"/>
  <c r="R62" i="11"/>
  <c r="L62" i="11"/>
  <c r="P61" i="11"/>
  <c r="Q61" i="11"/>
  <c r="L61" i="11"/>
  <c r="R61" i="11"/>
  <c r="L60" i="11"/>
  <c r="P60" i="11"/>
  <c r="Q60" i="11"/>
  <c r="R60" i="11"/>
  <c r="Q59" i="11"/>
  <c r="L59" i="11"/>
  <c r="P59" i="11"/>
  <c r="R59" i="11"/>
  <c r="Q58" i="11"/>
  <c r="R58" i="11"/>
  <c r="P58" i="11"/>
  <c r="L58" i="11"/>
  <c r="R57" i="11"/>
  <c r="Q57" i="11"/>
  <c r="L57" i="11"/>
  <c r="P57" i="11"/>
  <c r="R56" i="11"/>
  <c r="L56" i="11"/>
  <c r="P56" i="11"/>
  <c r="Q56" i="11"/>
  <c r="S56" i="11" s="1"/>
  <c r="Q55" i="11"/>
  <c r="P55" i="11"/>
  <c r="R55" i="11"/>
  <c r="L55" i="11"/>
  <c r="P54" i="11"/>
  <c r="R54" i="11"/>
  <c r="Q54" i="11"/>
  <c r="S54" i="11" s="1"/>
  <c r="L54" i="11"/>
  <c r="L53" i="11"/>
  <c r="P53" i="11"/>
  <c r="Q53" i="11"/>
  <c r="R53" i="11"/>
  <c r="L52" i="11"/>
  <c r="P52" i="11"/>
  <c r="Q52" i="11"/>
  <c r="R52" i="11"/>
  <c r="L51" i="11"/>
  <c r="P51" i="11"/>
  <c r="Q51" i="11"/>
  <c r="R51" i="11"/>
  <c r="L50" i="11"/>
  <c r="P50" i="11"/>
  <c r="Q50" i="11"/>
  <c r="R50" i="11"/>
  <c r="L49" i="11"/>
  <c r="P49" i="11"/>
  <c r="Q49" i="11"/>
  <c r="R49" i="11"/>
  <c r="L48" i="11"/>
  <c r="P48" i="11"/>
  <c r="Q48" i="11"/>
  <c r="R48" i="11"/>
  <c r="R47" i="11"/>
  <c r="L47" i="11"/>
  <c r="Q47" i="11"/>
  <c r="S47" i="11" s="1"/>
  <c r="P47" i="11"/>
  <c r="L46" i="11"/>
  <c r="R46" i="11"/>
  <c r="Q46" i="11"/>
  <c r="P46" i="11"/>
  <c r="L45" i="11"/>
  <c r="P45" i="11"/>
  <c r="Q45" i="11"/>
  <c r="R45" i="11"/>
  <c r="Q44" i="11"/>
  <c r="R44" i="11"/>
  <c r="P44" i="11"/>
  <c r="L44" i="11"/>
  <c r="L43" i="11"/>
  <c r="P43" i="11"/>
  <c r="Q43" i="11"/>
  <c r="R43" i="11"/>
  <c r="R42" i="11"/>
  <c r="P42" i="11"/>
  <c r="L42" i="11"/>
  <c r="Q42" i="11"/>
  <c r="S42" i="11" s="1"/>
  <c r="R41" i="11"/>
  <c r="L41" i="11"/>
  <c r="P41" i="11"/>
  <c r="Q41" i="11"/>
  <c r="S41" i="11" s="1"/>
  <c r="P40" i="11"/>
  <c r="R40" i="11"/>
  <c r="L40" i="11"/>
  <c r="Q40" i="11"/>
  <c r="S40" i="11" s="1"/>
  <c r="R39" i="11"/>
  <c r="L39" i="11"/>
  <c r="P39" i="11"/>
  <c r="Q39" i="11"/>
  <c r="S39" i="11" s="1"/>
  <c r="P38" i="11"/>
  <c r="Q38" i="11"/>
  <c r="R38" i="11"/>
  <c r="L38" i="11"/>
  <c r="P37" i="11"/>
  <c r="R37" i="11"/>
  <c r="L37" i="11"/>
  <c r="Q37" i="11"/>
  <c r="S37" i="11" s="1"/>
  <c r="L36" i="11"/>
  <c r="P36" i="11"/>
  <c r="Q36" i="11"/>
  <c r="R36" i="11"/>
  <c r="L35" i="11"/>
  <c r="P35" i="11"/>
  <c r="Q35" i="11"/>
  <c r="R35" i="11"/>
  <c r="L34" i="11"/>
  <c r="P34" i="11"/>
  <c r="Q34" i="11"/>
  <c r="R34" i="11"/>
  <c r="L33" i="11"/>
  <c r="P33" i="11"/>
  <c r="Q33" i="11"/>
  <c r="R33" i="11"/>
  <c r="L32" i="11"/>
  <c r="P32" i="11"/>
  <c r="Q32" i="11"/>
  <c r="R32" i="11"/>
  <c r="L31" i="11"/>
  <c r="P31" i="11"/>
  <c r="Q31" i="11"/>
  <c r="R31" i="11"/>
  <c r="L29" i="11"/>
  <c r="P29" i="11"/>
  <c r="L28" i="11"/>
  <c r="P28" i="11"/>
  <c r="L27" i="11"/>
  <c r="P27" i="11"/>
  <c r="Q27" i="11"/>
  <c r="R27" i="11"/>
  <c r="L26" i="11"/>
  <c r="P26" i="11"/>
  <c r="L25" i="11"/>
  <c r="P25" i="11"/>
  <c r="Q25" i="11"/>
  <c r="R25" i="11"/>
  <c r="L23" i="11"/>
  <c r="P23" i="11"/>
  <c r="L22" i="11"/>
  <c r="P22" i="11"/>
  <c r="P21" i="11"/>
  <c r="L21" i="11"/>
  <c r="L20" i="11"/>
  <c r="P20" i="11"/>
  <c r="L18" i="11"/>
  <c r="P18" i="11"/>
  <c r="Q18" i="11"/>
  <c r="R18" i="11"/>
  <c r="L17" i="11"/>
  <c r="P17" i="11"/>
  <c r="Q17" i="11"/>
  <c r="R17" i="11"/>
  <c r="L16" i="11"/>
  <c r="P16" i="11"/>
  <c r="Q16" i="11"/>
  <c r="R16" i="11"/>
  <c r="L15" i="11"/>
  <c r="P15" i="11"/>
  <c r="L14" i="11"/>
  <c r="P14" i="11"/>
  <c r="L13" i="11"/>
  <c r="P13" i="11"/>
  <c r="Q13" i="11"/>
  <c r="R13" i="11"/>
  <c r="L11" i="11"/>
  <c r="P11" i="11"/>
  <c r="Q11" i="11"/>
  <c r="R11" i="11"/>
  <c r="L10" i="11"/>
  <c r="P10" i="11"/>
  <c r="L9" i="11"/>
  <c r="P9" i="11"/>
  <c r="P8" i="11"/>
  <c r="L8" i="11"/>
  <c r="P7" i="11"/>
  <c r="L7" i="11"/>
  <c r="L6" i="11"/>
  <c r="P6" i="11"/>
  <c r="P5" i="11"/>
  <c r="Q5" i="11"/>
  <c r="R5" i="11"/>
  <c r="L5" i="11"/>
  <c r="R4" i="11"/>
  <c r="Q4" i="11"/>
  <c r="L4" i="11"/>
  <c r="P4" i="11"/>
  <c r="D24" i="2"/>
  <c r="O7" i="7"/>
  <c r="D28" i="2"/>
  <c r="O11" i="7"/>
  <c r="D29" i="2"/>
  <c r="O12" i="7"/>
  <c r="D25" i="2"/>
  <c r="O8" i="7"/>
  <c r="D26" i="2"/>
  <c r="O9" i="7"/>
  <c r="D31" i="2"/>
  <c r="O14" i="7"/>
  <c r="D30" i="2"/>
  <c r="O13" i="7"/>
  <c r="D32" i="2"/>
  <c r="O15" i="7"/>
  <c r="D27" i="2"/>
  <c r="O10" i="7"/>
  <c r="D23" i="2"/>
  <c r="O6" i="7"/>
  <c r="E32" i="2"/>
  <c r="J15" i="7"/>
  <c r="E31" i="2"/>
  <c r="J14" i="7"/>
  <c r="E30" i="2"/>
  <c r="J13" i="7"/>
  <c r="E29" i="2"/>
  <c r="J12" i="7"/>
  <c r="E28" i="2"/>
  <c r="J11" i="7"/>
  <c r="E27" i="2"/>
  <c r="J10" i="7"/>
  <c r="E26" i="2"/>
  <c r="J9" i="7"/>
  <c r="E25" i="2"/>
  <c r="J8" i="7"/>
  <c r="E24" i="2"/>
  <c r="J7" i="7"/>
  <c r="E23" i="2"/>
  <c r="J6" i="7"/>
  <c r="C6" i="13"/>
  <c r="D6" i="13"/>
  <c r="E6" i="13"/>
  <c r="F6" i="13"/>
  <c r="K4" i="7"/>
  <c r="B4" i="10"/>
  <c r="C66" i="10"/>
  <c r="C6" i="12" s="1"/>
  <c r="B6" i="12"/>
  <c r="E21" i="2"/>
  <c r="J4" i="7"/>
  <c r="R485" i="11"/>
  <c r="Q485" i="11"/>
  <c r="S485" i="11" s="1"/>
  <c r="P485" i="11"/>
  <c r="L485" i="11"/>
  <c r="S126" i="11"/>
  <c r="C17" i="9" l="1"/>
  <c r="Q19" i="11"/>
  <c r="S19" i="11" s="1"/>
  <c r="L19" i="11"/>
  <c r="P19" i="11"/>
  <c r="R19" i="11"/>
  <c r="R30" i="11"/>
  <c r="L30" i="11"/>
  <c r="P30" i="11"/>
  <c r="Q30" i="11"/>
  <c r="S30" i="11" s="1"/>
  <c r="S333" i="11"/>
  <c r="E5" i="9"/>
  <c r="E17" i="9" s="1"/>
  <c r="D5" i="9"/>
  <c r="D17" i="9" s="1"/>
  <c r="L24" i="11"/>
  <c r="P24" i="11"/>
  <c r="S335" i="11"/>
  <c r="S108" i="11"/>
  <c r="B5" i="9"/>
  <c r="S175" i="11"/>
  <c r="S338" i="11"/>
  <c r="S46" i="11"/>
  <c r="S332" i="11"/>
  <c r="S347" i="11"/>
  <c r="S57" i="11"/>
  <c r="P12" i="11"/>
  <c r="F4" i="9" s="1"/>
  <c r="L12" i="11"/>
  <c r="B4" i="9" s="1"/>
  <c r="S352" i="11"/>
  <c r="S416" i="11"/>
  <c r="Q21" i="11"/>
  <c r="R21" i="11"/>
  <c r="S76" i="11"/>
  <c r="Q28" i="11"/>
  <c r="R28" i="11"/>
  <c r="Q29" i="11"/>
  <c r="R29" i="11"/>
  <c r="R26" i="11"/>
  <c r="Q26" i="11"/>
  <c r="Q24" i="11"/>
  <c r="R24" i="11"/>
  <c r="Q22" i="11"/>
  <c r="R22" i="11"/>
  <c r="Q14" i="11"/>
  <c r="R14" i="11"/>
  <c r="S5" i="11"/>
  <c r="S484" i="11"/>
  <c r="S447" i="11"/>
  <c r="S437" i="11"/>
  <c r="S432" i="11"/>
  <c r="S419" i="11"/>
  <c r="S408" i="11"/>
  <c r="S391" i="11"/>
  <c r="S390" i="11"/>
  <c r="S389" i="11"/>
  <c r="S388" i="11"/>
  <c r="S324" i="11"/>
  <c r="S311" i="11"/>
  <c r="S305" i="11"/>
  <c r="S303" i="11"/>
  <c r="S302" i="11"/>
  <c r="S301" i="11"/>
  <c r="S299" i="11"/>
  <c r="S298" i="11"/>
  <c r="S297" i="11"/>
  <c r="S296" i="11"/>
  <c r="S293" i="11"/>
  <c r="S292" i="11"/>
  <c r="S290" i="11"/>
  <c r="S289" i="11"/>
  <c r="S287" i="11"/>
  <c r="S286" i="11"/>
  <c r="S285" i="11"/>
  <c r="S283" i="11"/>
  <c r="S273" i="11"/>
  <c r="S266" i="11"/>
  <c r="S263" i="11"/>
  <c r="S226" i="11"/>
  <c r="S225" i="11"/>
  <c r="S223" i="11"/>
  <c r="S213" i="11"/>
  <c r="S207" i="11"/>
  <c r="S206" i="11"/>
  <c r="S205" i="11"/>
  <c r="S204" i="11"/>
  <c r="S201" i="11"/>
  <c r="S200" i="11"/>
  <c r="S199" i="11"/>
  <c r="S196" i="11"/>
  <c r="S101" i="11"/>
  <c r="S100" i="11"/>
  <c r="S87" i="11"/>
  <c r="S85" i="11"/>
  <c r="Q15" i="11"/>
  <c r="R15" i="11"/>
  <c r="R8" i="11"/>
  <c r="Q8" i="11"/>
  <c r="S18" i="11"/>
  <c r="S4" i="11"/>
  <c r="B7" i="10"/>
  <c r="B8" i="10"/>
  <c r="B9" i="10"/>
  <c r="G4" i="2" s="1"/>
  <c r="B10" i="10"/>
  <c r="B11" i="10"/>
  <c r="B12" i="10"/>
  <c r="B13" i="10"/>
  <c r="N46" i="10"/>
  <c r="N53" i="10"/>
  <c r="N54" i="10"/>
  <c r="N57" i="10"/>
  <c r="N50" i="10"/>
  <c r="N51" i="10"/>
  <c r="N47" i="10"/>
  <c r="N49" i="10"/>
  <c r="N48" i="10"/>
  <c r="N45" i="10"/>
  <c r="N55" i="10"/>
  <c r="N56" i="10"/>
  <c r="N52" i="10"/>
  <c r="S500" i="11"/>
  <c r="S499" i="11"/>
  <c r="S498" i="11"/>
  <c r="S497" i="11"/>
  <c r="S496" i="11"/>
  <c r="S495" i="11"/>
  <c r="S494" i="11"/>
  <c r="S493" i="11"/>
  <c r="S492" i="11"/>
  <c r="S491" i="11"/>
  <c r="S490" i="11"/>
  <c r="S489" i="11"/>
  <c r="S488" i="11"/>
  <c r="S487" i="11"/>
  <c r="S486" i="11"/>
  <c r="S279" i="11"/>
  <c r="S274" i="11"/>
  <c r="S221" i="11"/>
  <c r="S483" i="11"/>
  <c r="S482" i="11"/>
  <c r="S481" i="11"/>
  <c r="S480" i="11"/>
  <c r="S479" i="11"/>
  <c r="S478" i="11"/>
  <c r="S477" i="11"/>
  <c r="S476" i="11"/>
  <c r="S475" i="11"/>
  <c r="S474" i="11"/>
  <c r="S473" i="11"/>
  <c r="S472" i="11"/>
  <c r="S471" i="11"/>
  <c r="S470" i="11"/>
  <c r="S469" i="11"/>
  <c r="S430" i="11"/>
  <c r="S426" i="11"/>
  <c r="S425" i="11"/>
  <c r="S424" i="11"/>
  <c r="S423" i="11"/>
  <c r="S422" i="11"/>
  <c r="S417" i="11"/>
  <c r="S411" i="11"/>
  <c r="S410" i="11"/>
  <c r="S409" i="11"/>
  <c r="S405" i="11"/>
  <c r="S307" i="11"/>
  <c r="S304" i="11"/>
  <c r="S300" i="11"/>
  <c r="S265" i="11"/>
  <c r="S202" i="11"/>
  <c r="S468" i="11"/>
  <c r="S467" i="11"/>
  <c r="S466" i="11"/>
  <c r="S465" i="11"/>
  <c r="S464" i="11"/>
  <c r="S463" i="11"/>
  <c r="S462" i="11"/>
  <c r="S461" i="11"/>
  <c r="S460" i="11"/>
  <c r="S459" i="11"/>
  <c r="S458" i="11"/>
  <c r="S457" i="11"/>
  <c r="S456" i="11"/>
  <c r="S455" i="11"/>
  <c r="S454" i="11"/>
  <c r="S453" i="11"/>
  <c r="S448" i="11"/>
  <c r="S446" i="11"/>
  <c r="S445" i="11"/>
  <c r="S444" i="11"/>
  <c r="S443" i="11"/>
  <c r="S442" i="11"/>
  <c r="S441" i="11"/>
  <c r="S440" i="11"/>
  <c r="S439" i="11"/>
  <c r="S438" i="11"/>
  <c r="S436" i="11"/>
  <c r="S431" i="11"/>
  <c r="S418" i="11"/>
  <c r="S404" i="11"/>
  <c r="S306" i="11"/>
  <c r="S294" i="11"/>
  <c r="S284" i="11"/>
  <c r="S260" i="11"/>
  <c r="S220" i="11"/>
  <c r="S198" i="11"/>
  <c r="S452" i="11"/>
  <c r="S451" i="11"/>
  <c r="S450" i="11"/>
  <c r="S449" i="11"/>
  <c r="S435" i="11"/>
  <c r="S434" i="11"/>
  <c r="S433" i="11"/>
  <c r="S429" i="11"/>
  <c r="S428" i="11"/>
  <c r="S427" i="11"/>
  <c r="S421" i="11"/>
  <c r="S420" i="11"/>
  <c r="S415" i="11"/>
  <c r="S414" i="11"/>
  <c r="S413" i="11"/>
  <c r="S412" i="11"/>
  <c r="S291" i="11"/>
  <c r="S269" i="11"/>
  <c r="S264" i="11"/>
  <c r="S219" i="11"/>
  <c r="S214" i="11"/>
  <c r="S267" i="11"/>
  <c r="S224" i="11"/>
  <c r="S222" i="11"/>
  <c r="S197" i="11"/>
  <c r="S403" i="11"/>
  <c r="S402" i="11"/>
  <c r="S401" i="11"/>
  <c r="S400" i="11"/>
  <c r="S399" i="11"/>
  <c r="S398" i="11"/>
  <c r="S397" i="11"/>
  <c r="S396" i="11"/>
  <c r="S395" i="11"/>
  <c r="S394" i="11"/>
  <c r="S393" i="11"/>
  <c r="S392" i="11"/>
  <c r="S280" i="11"/>
  <c r="S277" i="11"/>
  <c r="S276" i="11"/>
  <c r="S275" i="11"/>
  <c r="S272" i="11"/>
  <c r="S262" i="11"/>
  <c r="S229" i="11"/>
  <c r="S218" i="11"/>
  <c r="S216" i="11"/>
  <c r="S215" i="11"/>
  <c r="S387" i="11"/>
  <c r="S386" i="11"/>
  <c r="S381" i="11"/>
  <c r="S380" i="11"/>
  <c r="S379" i="11"/>
  <c r="S378" i="11"/>
  <c r="S377" i="11"/>
  <c r="S376" i="11"/>
  <c r="S375" i="11"/>
  <c r="S372" i="11"/>
  <c r="S371" i="11"/>
  <c r="S370" i="11"/>
  <c r="S369" i="11"/>
  <c r="S368" i="11"/>
  <c r="S366" i="11"/>
  <c r="S365" i="11"/>
  <c r="S363" i="11"/>
  <c r="S362" i="11"/>
  <c r="S361" i="11"/>
  <c r="S360" i="11"/>
  <c r="S359" i="11"/>
  <c r="S358" i="11"/>
  <c r="S357" i="11"/>
  <c r="S356" i="11"/>
  <c r="S355" i="11"/>
  <c r="S353" i="11"/>
  <c r="S351" i="11"/>
  <c r="S350" i="11"/>
  <c r="S349" i="11"/>
  <c r="S348" i="11"/>
  <c r="S346" i="11"/>
  <c r="S345" i="11"/>
  <c r="S344" i="11"/>
  <c r="S343" i="11"/>
  <c r="S342" i="11"/>
  <c r="S341" i="11"/>
  <c r="S340" i="11"/>
  <c r="S339" i="11"/>
  <c r="S337" i="11"/>
  <c r="S336" i="11"/>
  <c r="S334" i="11"/>
  <c r="S331" i="11"/>
  <c r="S330" i="11"/>
  <c r="S329" i="11"/>
  <c r="S328" i="11"/>
  <c r="S327" i="11"/>
  <c r="S326" i="11"/>
  <c r="S325" i="11"/>
  <c r="S323" i="11"/>
  <c r="S322" i="11"/>
  <c r="S321" i="11"/>
  <c r="S320" i="11"/>
  <c r="S319" i="11"/>
  <c r="S318" i="11"/>
  <c r="S317" i="11"/>
  <c r="S316" i="11"/>
  <c r="S315" i="11"/>
  <c r="S313" i="11"/>
  <c r="S261" i="11"/>
  <c r="S308" i="11"/>
  <c r="S295" i="11"/>
  <c r="S288" i="11"/>
  <c r="S282" i="11"/>
  <c r="S281" i="11"/>
  <c r="S230" i="11"/>
  <c r="S212" i="11"/>
  <c r="S210" i="11"/>
  <c r="S208" i="11"/>
  <c r="S314" i="11"/>
  <c r="S312" i="11"/>
  <c r="S310" i="11"/>
  <c r="S309" i="11"/>
  <c r="S270" i="11"/>
  <c r="S203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28" i="11"/>
  <c r="S227" i="11"/>
  <c r="S217" i="11"/>
  <c r="S211" i="11"/>
  <c r="S209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1" i="11"/>
  <c r="S110" i="11"/>
  <c r="S107" i="11"/>
  <c r="S106" i="11"/>
  <c r="S105" i="11"/>
  <c r="S104" i="11"/>
  <c r="S103" i="11"/>
  <c r="S99" i="11"/>
  <c r="S98" i="11"/>
  <c r="S97" i="11"/>
  <c r="S94" i="11"/>
  <c r="S93" i="11"/>
  <c r="S92" i="11"/>
  <c r="S91" i="11"/>
  <c r="S89" i="11"/>
  <c r="S17" i="11"/>
  <c r="S16" i="11"/>
  <c r="S13" i="11"/>
  <c r="S102" i="11"/>
  <c r="S96" i="11"/>
  <c r="S95" i="11"/>
  <c r="S90" i="11"/>
  <c r="S88" i="11"/>
  <c r="S86" i="11"/>
  <c r="S84" i="11"/>
  <c r="S83" i="11"/>
  <c r="S82" i="11"/>
  <c r="S81" i="11"/>
  <c r="S80" i="11"/>
  <c r="S79" i="11"/>
  <c r="S78" i="11"/>
  <c r="S77" i="11"/>
  <c r="S74" i="11"/>
  <c r="S71" i="11"/>
  <c r="S70" i="11"/>
  <c r="S69" i="11"/>
  <c r="S68" i="11"/>
  <c r="S67" i="11"/>
  <c r="S66" i="11"/>
  <c r="S65" i="11"/>
  <c r="S64" i="11"/>
  <c r="S62" i="11"/>
  <c r="S61" i="11"/>
  <c r="S60" i="11"/>
  <c r="S59" i="11"/>
  <c r="S58" i="11"/>
  <c r="S55" i="11"/>
  <c r="S53" i="11"/>
  <c r="S52" i="11"/>
  <c r="S51" i="11"/>
  <c r="S50" i="11"/>
  <c r="S49" i="11"/>
  <c r="S48" i="11"/>
  <c r="S45" i="11"/>
  <c r="S44" i="11"/>
  <c r="S43" i="11"/>
  <c r="S38" i="11"/>
  <c r="S36" i="11"/>
  <c r="S35" i="11"/>
  <c r="S34" i="11"/>
  <c r="S33" i="11"/>
  <c r="S32" i="11"/>
  <c r="S31" i="11"/>
  <c r="S27" i="11"/>
  <c r="S25" i="11"/>
  <c r="S11" i="11"/>
  <c r="Q23" i="11"/>
  <c r="R23" i="11"/>
  <c r="Q20" i="11"/>
  <c r="R20" i="11"/>
  <c r="R10" i="11"/>
  <c r="Q10" i="11"/>
  <c r="Q9" i="11"/>
  <c r="R9" i="11"/>
  <c r="Q7" i="11"/>
  <c r="R7" i="11"/>
  <c r="R6" i="11"/>
  <c r="Q6" i="11"/>
  <c r="F5" i="9" l="1"/>
  <c r="F17" i="9" s="1"/>
  <c r="S26" i="11"/>
  <c r="B14" i="10"/>
  <c r="B17" i="9"/>
  <c r="S24" i="11"/>
  <c r="S22" i="11"/>
  <c r="S14" i="11"/>
  <c r="S21" i="11"/>
  <c r="Q12" i="11"/>
  <c r="G4" i="9" s="1"/>
  <c r="R12" i="11"/>
  <c r="S8" i="11"/>
  <c r="S28" i="11"/>
  <c r="H5" i="9"/>
  <c r="G5" i="9"/>
  <c r="S15" i="11"/>
  <c r="S29" i="11"/>
  <c r="S10" i="11"/>
  <c r="S6" i="11"/>
  <c r="B16" i="10"/>
  <c r="B17" i="10"/>
  <c r="J4" i="2" s="1"/>
  <c r="B20" i="10"/>
  <c r="B65" i="10"/>
  <c r="B5" i="13"/>
  <c r="A4" i="2"/>
  <c r="B18" i="10"/>
  <c r="B64" i="10"/>
  <c r="B4" i="13"/>
  <c r="D4" i="2"/>
  <c r="O46" i="10"/>
  <c r="O5" i="8" s="1"/>
  <c r="P46" i="10"/>
  <c r="P5" i="8" s="1"/>
  <c r="I22" i="2" s="1"/>
  <c r="N5" i="8"/>
  <c r="H22" i="2" s="1"/>
  <c r="O53" i="10"/>
  <c r="O12" i="8" s="1"/>
  <c r="P53" i="10"/>
  <c r="P12" i="8" s="1"/>
  <c r="I29" i="2" s="1"/>
  <c r="N12" i="8"/>
  <c r="H29" i="2" s="1"/>
  <c r="O54" i="10"/>
  <c r="O13" i="8" s="1"/>
  <c r="P54" i="10"/>
  <c r="P13" i="8" s="1"/>
  <c r="I30" i="2" s="1"/>
  <c r="N13" i="8"/>
  <c r="H30" i="2" s="1"/>
  <c r="N16" i="8"/>
  <c r="H33" i="2" s="1"/>
  <c r="O57" i="10"/>
  <c r="O16" i="8" s="1"/>
  <c r="P57" i="10"/>
  <c r="P16" i="8" s="1"/>
  <c r="I33" i="2" s="1"/>
  <c r="P50" i="10"/>
  <c r="P9" i="8" s="1"/>
  <c r="I26" i="2" s="1"/>
  <c r="O50" i="10"/>
  <c r="O9" i="8" s="1"/>
  <c r="N9" i="8"/>
  <c r="H26" i="2" s="1"/>
  <c r="N10" i="8"/>
  <c r="H27" i="2" s="1"/>
  <c r="O51" i="10"/>
  <c r="O10" i="8" s="1"/>
  <c r="P51" i="10"/>
  <c r="P10" i="8" s="1"/>
  <c r="I27" i="2" s="1"/>
  <c r="O47" i="10"/>
  <c r="O6" i="8" s="1"/>
  <c r="N6" i="8"/>
  <c r="H23" i="2" s="1"/>
  <c r="P47" i="10"/>
  <c r="P6" i="8" s="1"/>
  <c r="I23" i="2" s="1"/>
  <c r="O49" i="10"/>
  <c r="O8" i="8" s="1"/>
  <c r="P49" i="10"/>
  <c r="P8" i="8" s="1"/>
  <c r="I25" i="2" s="1"/>
  <c r="N8" i="8"/>
  <c r="H25" i="2" s="1"/>
  <c r="N7" i="8"/>
  <c r="H24" i="2" s="1"/>
  <c r="P48" i="10"/>
  <c r="P7" i="8" s="1"/>
  <c r="I24" i="2" s="1"/>
  <c r="O48" i="10"/>
  <c r="O7" i="8" s="1"/>
  <c r="O45" i="10"/>
  <c r="O4" i="8" s="1"/>
  <c r="P45" i="10"/>
  <c r="P4" i="8" s="1"/>
  <c r="I21" i="2" s="1"/>
  <c r="N4" i="8"/>
  <c r="H21" i="2" s="1"/>
  <c r="O55" i="10"/>
  <c r="O14" i="8" s="1"/>
  <c r="P55" i="10"/>
  <c r="P14" i="8" s="1"/>
  <c r="I31" i="2" s="1"/>
  <c r="N14" i="8"/>
  <c r="H31" i="2" s="1"/>
  <c r="O56" i="10"/>
  <c r="O15" i="8" s="1"/>
  <c r="P56" i="10"/>
  <c r="P15" i="8" s="1"/>
  <c r="I32" i="2" s="1"/>
  <c r="N15" i="8"/>
  <c r="H32" i="2" s="1"/>
  <c r="O52" i="10"/>
  <c r="O11" i="8" s="1"/>
  <c r="P52" i="10"/>
  <c r="P11" i="8" s="1"/>
  <c r="I28" i="2" s="1"/>
  <c r="N11" i="8"/>
  <c r="H28" i="2" s="1"/>
  <c r="S23" i="11"/>
  <c r="S20" i="11"/>
  <c r="S9" i="11"/>
  <c r="S7" i="11"/>
  <c r="H4" i="9"/>
  <c r="O29" i="10" l="1"/>
  <c r="I5" i="9"/>
  <c r="J5" i="9" s="1"/>
  <c r="S12" i="11"/>
  <c r="H17" i="9"/>
  <c r="G17" i="9"/>
  <c r="I4" i="9"/>
  <c r="O28" i="10"/>
  <c r="D21" i="2" s="1"/>
  <c r="O5" i="7"/>
  <c r="D22" i="2"/>
  <c r="B23" i="10"/>
  <c r="B8" i="14"/>
  <c r="A8" i="2"/>
  <c r="B21" i="10"/>
  <c r="B22" i="10"/>
  <c r="B5" i="14"/>
  <c r="B5" i="12"/>
  <c r="C65" i="10"/>
  <c r="C5" i="12" s="1"/>
  <c r="C5" i="13"/>
  <c r="D5" i="13"/>
  <c r="E5" i="13"/>
  <c r="F5" i="13"/>
  <c r="C64" i="10"/>
  <c r="C4" i="12" s="1"/>
  <c r="B4" i="12"/>
  <c r="C4" i="13"/>
  <c r="D4" i="13"/>
  <c r="E4" i="13"/>
  <c r="F4" i="13"/>
  <c r="I17" i="9" l="1"/>
  <c r="J4" i="9"/>
  <c r="O4" i="7"/>
  <c r="B9" i="14"/>
  <c r="B13" i="2"/>
  <c r="B6" i="14"/>
  <c r="D8" i="2"/>
  <c r="B7" i="14"/>
  <c r="B10" i="14" s="1"/>
  <c r="B14" i="2"/>
  <c r="B18" i="9" l="1"/>
  <c r="B24" i="10"/>
  <c r="G8" i="2" s="1"/>
</calcChain>
</file>

<file path=xl/sharedStrings.xml><?xml version="1.0" encoding="utf-8"?>
<sst xmlns="http://schemas.openxmlformats.org/spreadsheetml/2006/main" count="765" uniqueCount="392">
  <si>
    <t>Personal Finance Analysis Template: Minimal Input + Canadian Sales Tax Estimator</t>
  </si>
  <si>
    <t>Fill only Expense_Input, Income_Input, Input_Settings, and Sales_Tax_Settings. Other sheets calculate automatically.</t>
  </si>
  <si>
    <t>Item</t>
  </si>
  <si>
    <t>Description</t>
  </si>
  <si>
    <t>Purpose</t>
  </si>
  <si>
    <t>Track personal income/expenses and automatically generate monthly cash flow, category mix, annual spending projection, emergency fund, investable cash, and sales tax estimates.</t>
  </si>
  <si>
    <t>Monthly Maintenance</t>
  </si>
  <si>
    <t>Append new rows and update current cash or tax assumptions only when they change.</t>
  </si>
  <si>
    <t>Amount Rule</t>
  </si>
  <si>
    <t>Enter expense and income amounts as positive numbers.</t>
  </si>
  <si>
    <t>Tax Rule</t>
  </si>
  <si>
    <t>Tax Type can be Auto, Zero-rated, Taxable, Exempt, Tax Unknown, or Not Applicable.</t>
  </si>
  <si>
    <t>Sample Data</t>
  </si>
  <si>
    <t>January and February 2026 sample data are included.</t>
  </si>
  <si>
    <t>Workflow</t>
  </si>
  <si>
    <t>1. Add expense rows in Expense_Input.</t>
  </si>
  <si>
    <t>2. Add income rows in Income_Input.</t>
  </si>
  <si>
    <t>3. Update Input_Settings and Sales_Tax_Settings when assumptions change.</t>
  </si>
  <si>
    <t>4. Review Dashboard first.</t>
  </si>
  <si>
    <t>5. Sales tax estimates are approximate and are not refund, credit, or deductible amounts.</t>
  </si>
  <si>
    <t>Personal Finance Dashboard</t>
  </si>
  <si>
    <t>Main review page; all figures reference Formula_Hub.</t>
  </si>
  <si>
    <t>Average Monthly Expense</t>
  </si>
  <si>
    <t>Essential Monthly Expense</t>
  </si>
  <si>
    <t>Discretionary Monthly Expense</t>
  </si>
  <si>
    <t>Normal One-Year Reserve</t>
  </si>
  <si>
    <t>Cash Coverage Months</t>
  </si>
  <si>
    <t>Suggested Investable Cash</t>
  </si>
  <si>
    <t>Estimated Annual Sales Tax</t>
  </si>
  <si>
    <t>Sales Tax Estimate Status</t>
  </si>
  <si>
    <t>Decision Summary</t>
  </si>
  <si>
    <t>Cash Safety Level</t>
  </si>
  <si>
    <t>Cash Allocation Note</t>
  </si>
  <si>
    <t>Sales Tax Note</t>
  </si>
  <si>
    <t>Chart Data: Monthly Cash Flow and Sales Tax</t>
  </si>
  <si>
    <t>Chart Data: Category Monthly Avg and Share</t>
  </si>
  <si>
    <t>Month</t>
  </si>
  <si>
    <t>Income</t>
  </si>
  <si>
    <t>Personal Expense</t>
  </si>
  <si>
    <t>Estimated Sales Tax</t>
  </si>
  <si>
    <t>Net Cash Flow</t>
  </si>
  <si>
    <t>Category</t>
  </si>
  <si>
    <t>Monthly Avg</t>
  </si>
  <si>
    <t>Share</t>
  </si>
  <si>
    <t>Total Expenses</t>
  </si>
  <si>
    <t>Formula ranges cover rows 4:500. Enter expense amounts as positive numbers.</t>
  </si>
  <si>
    <t>Record ID</t>
  </si>
  <si>
    <t>Date</t>
  </si>
  <si>
    <t>Expense Description</t>
  </si>
  <si>
    <t>Expense Amount</t>
  </si>
  <si>
    <t>Main Category</t>
  </si>
  <si>
    <t>Expense Nature</t>
  </si>
  <si>
    <t>Necessity</t>
  </si>
  <si>
    <t>Analysis Scope</t>
  </si>
  <si>
    <t>Tax Type</t>
  </si>
  <si>
    <t>Notes</t>
  </si>
  <si>
    <t>EXP-0001</t>
  </si>
  <si>
    <t>Rent</t>
  </si>
  <si>
    <t>Housing</t>
  </si>
  <si>
    <t>Fixed</t>
  </si>
  <si>
    <t>Essential</t>
  </si>
  <si>
    <t>Exempt</t>
  </si>
  <si>
    <t>Sample rent</t>
  </si>
  <si>
    <t>EXP-0002</t>
  </si>
  <si>
    <t>Basic groceries</t>
  </si>
  <si>
    <t>Food &amp; Dining</t>
  </si>
  <si>
    <t>Variable</t>
  </si>
  <si>
    <t>Zero-rated</t>
  </si>
  <si>
    <t>EXP-0003</t>
  </si>
  <si>
    <t>Restaurant dining</t>
  </si>
  <si>
    <t>Discretionary</t>
  </si>
  <si>
    <t>Taxable</t>
  </si>
  <si>
    <t>EXP-0004</t>
  </si>
  <si>
    <t>Gas</t>
  </si>
  <si>
    <t>Transportation</t>
  </si>
  <si>
    <t>EXP-0005</t>
  </si>
  <si>
    <t>Mobile phone plan</t>
  </si>
  <si>
    <t>Telecom</t>
  </si>
  <si>
    <t>EXP-0006</t>
  </si>
  <si>
    <t>Cloud subscription</t>
  </si>
  <si>
    <t>Subscriptions</t>
  </si>
  <si>
    <t>EXP-0007</t>
  </si>
  <si>
    <t>Shopping</t>
  </si>
  <si>
    <t>EXP-0008</t>
  </si>
  <si>
    <t>Medical supplies</t>
  </si>
  <si>
    <t>Medical</t>
  </si>
  <si>
    <t>EXP-0009</t>
  </si>
  <si>
    <t>Gym membership</t>
  </si>
  <si>
    <t>Fitness</t>
  </si>
  <si>
    <t>EXP-0010</t>
  </si>
  <si>
    <t>Courses and books</t>
  </si>
  <si>
    <t>Education</t>
  </si>
  <si>
    <t>One-time</t>
  </si>
  <si>
    <t>Tax Unknown</t>
  </si>
  <si>
    <t>EXP-0011</t>
  </si>
  <si>
    <t>Pet supplies</t>
  </si>
  <si>
    <t>Pet</t>
  </si>
  <si>
    <t>EXP-0012</t>
  </si>
  <si>
    <t>Entertainment</t>
  </si>
  <si>
    <t>EXP-0013</t>
  </si>
  <si>
    <t>Government fee</t>
  </si>
  <si>
    <t>Taxes &amp; Gov Fees</t>
  </si>
  <si>
    <t>Not Applicable</t>
  </si>
  <si>
    <t>EXP-0014</t>
  </si>
  <si>
    <t>Miscellaneous</t>
  </si>
  <si>
    <t>Other</t>
  </si>
  <si>
    <t>EXP-0015</t>
  </si>
  <si>
    <t>EXP-0016</t>
  </si>
  <si>
    <t>EXP-0017</t>
  </si>
  <si>
    <t>Group dinner</t>
  </si>
  <si>
    <t>EXP-0018</t>
  </si>
  <si>
    <t>Gas and parking</t>
  </si>
  <si>
    <t>EXP-0019</t>
  </si>
  <si>
    <t>EXP-0020</t>
  </si>
  <si>
    <t>Software subscription</t>
  </si>
  <si>
    <t>EXP-0021</t>
  </si>
  <si>
    <t>Clothing purchase</t>
  </si>
  <si>
    <t>EXP-0022</t>
  </si>
  <si>
    <t>EXP-0023</t>
  </si>
  <si>
    <t>EXP-0024</t>
  </si>
  <si>
    <t>Online course</t>
  </si>
  <si>
    <t>EXP-0025</t>
  </si>
  <si>
    <t>EXP-0026</t>
  </si>
  <si>
    <t>Entertainment activity</t>
  </si>
  <si>
    <t>EXP-0027</t>
  </si>
  <si>
    <t>EXP-0028</t>
  </si>
  <si>
    <t>Total Income</t>
  </si>
  <si>
    <t>Formula ranges cover rows 4:500. Enter income amounts as positive numbers.</t>
  </si>
  <si>
    <t>Income Source</t>
  </si>
  <si>
    <t>Income Amount</t>
  </si>
  <si>
    <t>Income Type</t>
  </si>
  <si>
    <t>INC-0001</t>
  </si>
  <si>
    <t>Salary</t>
  </si>
  <si>
    <t>Sample income</t>
  </si>
  <si>
    <t>INC-0002</t>
  </si>
  <si>
    <t>INC-0003</t>
  </si>
  <si>
    <t>Refund</t>
  </si>
  <si>
    <t>Example refund</t>
  </si>
  <si>
    <t>Input Settings</t>
  </si>
  <si>
    <t>Manual variable area.</t>
  </si>
  <si>
    <t>Setting</t>
  </si>
  <si>
    <t>Current Value</t>
  </si>
  <si>
    <t>Current Available Cash</t>
  </si>
  <si>
    <t>Used to calculate cash coverage months and investable cash</t>
  </si>
  <si>
    <t>Extra Safety Buffer</t>
  </si>
  <si>
    <t>Additional cash held above recommended reserve</t>
  </si>
  <si>
    <t>Risk Preference</t>
  </si>
  <si>
    <t>Balanced</t>
  </si>
  <si>
    <t>Conservative, Balanced, or Growth</t>
  </si>
  <si>
    <t>Emergency Fund Months</t>
  </si>
  <si>
    <t>Recommended reserve = average monthly expense × months</t>
  </si>
  <si>
    <t>Minimum Cash Reserve Floor</t>
  </si>
  <si>
    <t>Minimum cash reserve floor</t>
  </si>
  <si>
    <t>Optional: Monthly Housing Baseline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</si>
  <si>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</si>
  <si>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</si>
  <si>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</si>
  <si>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</si>
  <si>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</si>
  <si>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</si>
  <si>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</si>
  <si>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</si>
  <si>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</si>
  <si>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</si>
  <si>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</si>
  <si>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</si>
  <si>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Housing Baseline</t>
  </si>
  <si>
    <t>Sales Tax Settings</t>
  </si>
  <si>
    <t>Sales tax estimates are approximate and editable.</t>
  </si>
  <si>
    <t>Enable Sales Tax Estimate</t>
  </si>
  <si>
    <t>Yes</t>
  </si>
  <si>
    <t>If No, estimated tax is 0</t>
  </si>
  <si>
    <t>Expense Amounts Include Tax</t>
  </si>
  <si>
    <t>Most personal records are tax-included cash outflows</t>
  </si>
  <si>
    <t>Region</t>
  </si>
  <si>
    <t>Quebec</t>
  </si>
  <si>
    <t>Default GST/QST example</t>
  </si>
  <si>
    <t>Federal Sales Tax Rate</t>
  </si>
  <si>
    <t>GST</t>
  </si>
  <si>
    <t>Provincial Sales Tax Rate</t>
  </si>
  <si>
    <t>QST</t>
  </si>
  <si>
    <t>Combined Sales Tax Rate</t>
  </si>
  <si>
    <t>Used to back out included tax</t>
  </si>
  <si>
    <t>Default Tax Type by Main Category</t>
  </si>
  <si>
    <t>Default Tax Type</t>
  </si>
  <si>
    <t>Residential rent is usually outside sales tax estimate</t>
  </si>
  <si>
    <t>Restaurants/takeout taxable; basic groceries zero-rated</t>
  </si>
  <si>
    <t>Gas, parking, repair usually taxable</t>
  </si>
  <si>
    <t>Mobile/internet usually taxable</t>
  </si>
  <si>
    <t>Software/streaming usually taxable</t>
  </si>
  <si>
    <t>Goods usually taxable</t>
  </si>
  <si>
    <t>Medical varies</t>
  </si>
  <si>
    <t>Gym usually taxable</t>
  </si>
  <si>
    <t>Books/courses vary</t>
  </si>
  <si>
    <t>Pet items usually taxable</t>
  </si>
  <si>
    <t>Games/events usually taxable</t>
  </si>
  <si>
    <t>Government fees excluded</t>
  </si>
  <si>
    <t>Use receipt</t>
  </si>
  <si>
    <t>Sources</t>
  </si>
  <si>
    <t>Topic</t>
  </si>
  <si>
    <t>Link</t>
  </si>
  <si>
    <t>Quebec sales tax calculation rules</t>
  </si>
  <si>
    <t>https://www.revenuquebec.ca/en/businesses/consumption-taxes/gsthst-and-qst/collecting-gst-and-qst/calculating-the-taxes/</t>
  </si>
  <si>
    <t>Quebec GST/QST rate tables</t>
  </si>
  <si>
    <t>https://www.revenuquebec.ca/en/businesses/consumption-taxes/gsthst-and-qst/basic-rules-for-applying-the-gsthst-and-qst/tables-of-gst-and-qst-rates/</t>
  </si>
  <si>
    <t>Examples of taxable supplies</t>
  </si>
  <si>
    <t>https://www.revenuquebec.ca/en/businesses/consumption-taxes/gsthst-and-qst/basic-rules-for-applying-the-gsthst-and-qst/types-of-supplies/taxable-supplies/</t>
  </si>
  <si>
    <t>Federal GST/HST credit overview</t>
  </si>
  <si>
    <t>https://www.canada.ca/en/revenue-agency/services/child-family-benefits/gst-hst-credit.html</t>
  </si>
  <si>
    <t>Monthly Summary</t>
  </si>
  <si>
    <t>Display sheet: references Formula_Hub.</t>
  </si>
  <si>
    <t>Essential Expense</t>
  </si>
  <si>
    <t>Discretionary Expense</t>
  </si>
  <si>
    <t>Fixed Expense</t>
  </si>
  <si>
    <t>Variable Expense</t>
  </si>
  <si>
    <t>One-time Expense</t>
  </si>
  <si>
    <t>Housing Expense</t>
  </si>
  <si>
    <t>Included in Average</t>
  </si>
  <si>
    <t>Property Expense</t>
  </si>
  <si>
    <t>Investment Transfer</t>
  </si>
  <si>
    <t>Internal Transfer</t>
  </si>
  <si>
    <t>Category Summary</t>
  </si>
  <si>
    <t>Annualized</t>
  </si>
  <si>
    <t>Share of Personal Monthly Expense</t>
  </si>
  <si>
    <t>Sales Tax Analysis</t>
  </si>
  <si>
    <t>Summarizes estimated sales tax by month.</t>
  </si>
  <si>
    <t>Taxable Spending</t>
  </si>
  <si>
    <t>Zero-rated Spending</t>
  </si>
  <si>
    <t>Exempt Spending</t>
  </si>
  <si>
    <t>Other / N.A.</t>
  </si>
  <si>
    <t>Pre-tax Amount</t>
  </si>
  <si>
    <t>Federal Tax Estimate</t>
  </si>
  <si>
    <t>Provincial Tax Estimate</t>
  </si>
  <si>
    <t>Note</t>
  </si>
  <si>
    <t>Annual Total</t>
  </si>
  <si>
    <t>Sales tax as % of personal expense</t>
  </si>
  <si>
    <t>Formula Hub</t>
  </si>
  <si>
    <t>All core calculations are centralized here.</t>
  </si>
  <si>
    <t>Included Analysis Months</t>
  </si>
  <si>
    <t>Total Personal Expense</t>
  </si>
  <si>
    <t>Average Monthly Personal Expense</t>
  </si>
  <si>
    <t>Average Monthly Essential Expense</t>
  </si>
  <si>
    <t>Average Monthly Discretionary Expense</t>
  </si>
  <si>
    <t>Average Monthly Fixed Expense</t>
  </si>
  <si>
    <t>Average Monthly Variable Expense</t>
  </si>
  <si>
    <t>Average Monthly One-time Expense</t>
  </si>
  <si>
    <t>Average Monthly Housing Expense</t>
  </si>
  <si>
    <t>Housing Expense Ratio</t>
  </si>
  <si>
    <t>Savings Rate</t>
  </si>
  <si>
    <t>Normal One-Year Living Reserve</t>
  </si>
  <si>
    <t>Essential One-Year Living Reserve</t>
  </si>
  <si>
    <t>Conservative One-Year Living Reserve</t>
  </si>
  <si>
    <t>Recommended Cash Reserve</t>
  </si>
  <si>
    <t>Cash Shortfall</t>
  </si>
  <si>
    <t>Scenario</t>
  </si>
  <si>
    <t>Monthly Baseline</t>
  </si>
  <si>
    <t>Annual Baseline</t>
  </si>
  <si>
    <t>Lean Essential Living</t>
  </si>
  <si>
    <t>Minimum living floor based only on essential expenses</t>
  </si>
  <si>
    <t>Normal Current Lifestyle</t>
  </si>
  <si>
    <t>Based on current average personal expense</t>
  </si>
  <si>
    <t>Conservative Stress Case</t>
  </si>
  <si>
    <t>Uses the highest monthly spending level as a stress test</t>
  </si>
  <si>
    <t>Sales Tax Calculation Detail</t>
  </si>
  <si>
    <t>Reads Expense_Input and estimates GST/QST by tax type.</t>
  </si>
  <si>
    <t>Tax Type Input</t>
  </si>
  <si>
    <t>Final Tax Type</t>
  </si>
  <si>
    <t>Taxable?</t>
  </si>
  <si>
    <t>Annual Spending Projection</t>
  </si>
  <si>
    <t>Display sheet: scenarios.</t>
  </si>
  <si>
    <t>Emergency Fund Analysis</t>
  </si>
  <si>
    <t>Reserve needs based on spending scenarios.</t>
  </si>
  <si>
    <t>Baseline</t>
  </si>
  <si>
    <t>Monthly Expense</t>
  </si>
  <si>
    <t>3 Months</t>
  </si>
  <si>
    <t>6 Months</t>
  </si>
  <si>
    <t>12 Months</t>
  </si>
  <si>
    <t>Custom Months</t>
  </si>
  <si>
    <t>Essential Living</t>
  </si>
  <si>
    <t>Current Lifestyle</t>
  </si>
  <si>
    <t>Conservative Stress</t>
  </si>
  <si>
    <t>Investable Cash</t>
  </si>
  <si>
    <t>Estimate investable cash from current cash and reserve.</t>
  </si>
  <si>
    <t>Value</t>
  </si>
  <si>
    <t>From Input_Settings</t>
  </si>
  <si>
    <t>Based on reserve rules</t>
  </si>
  <si>
    <t>Cash above reserve</t>
  </si>
  <si>
    <t>Reserve gap</t>
  </si>
  <si>
    <t>Current cash / average monthly expense</t>
  </si>
  <si>
    <t>Based on coverage months</t>
  </si>
  <si>
    <t>Rule-of-thumb note</t>
  </si>
  <si>
    <t>Formula Notes and Maintenance Rules</t>
  </si>
  <si>
    <t>This sheet explains how to maintain the template.</t>
  </si>
  <si>
    <t>Sheet</t>
  </si>
  <si>
    <t>Cell / Area</t>
  </si>
  <si>
    <t>Formula / Logic</t>
  </si>
  <si>
    <t>Meaning</t>
  </si>
  <si>
    <t>Manual Update?</t>
  </si>
  <si>
    <t>Expense_Input</t>
  </si>
  <si>
    <t>A:J</t>
  </si>
  <si>
    <t>User input</t>
  </si>
  <si>
    <t>Records all expenses.</t>
  </si>
  <si>
    <t>Append monthly</t>
  </si>
  <si>
    <t>Income_Input</t>
  </si>
  <si>
    <t>A:F</t>
  </si>
  <si>
    <t>Records all income.</t>
  </si>
  <si>
    <t>Input_Settings</t>
  </si>
  <si>
    <t>B5:B9</t>
  </si>
  <si>
    <t>Cash and reserve assumptions.</t>
  </si>
  <si>
    <t>Update when assumptions change</t>
  </si>
  <si>
    <t>Sales_Tax_Settings</t>
  </si>
  <si>
    <t>B5:B10</t>
  </si>
  <si>
    <t>User input + formulas</t>
  </si>
  <si>
    <t>Sales tax settings.</t>
  </si>
  <si>
    <t>Optional</t>
  </si>
  <si>
    <t>Adjust by province</t>
  </si>
  <si>
    <t>A15:C27</t>
  </si>
  <si>
    <t>Rule table</t>
  </si>
  <si>
    <t>Default tax type by category.</t>
  </si>
  <si>
    <t>Adjust by receipt</t>
  </si>
  <si>
    <t>Sales_Tax_Detail</t>
  </si>
  <si>
    <t>A:S rows 4:500</t>
  </si>
  <si>
    <t>Formulas</t>
  </si>
  <si>
    <t>Calculates final tax type and estimated tax.</t>
  </si>
  <si>
    <t>No</t>
  </si>
  <si>
    <t>Review only</t>
  </si>
  <si>
    <t>Sales_Tax_Analysis</t>
  </si>
  <si>
    <t>A:I</t>
  </si>
  <si>
    <t>SUMIFS</t>
  </si>
  <si>
    <t>Monthly tax summary.</t>
  </si>
  <si>
    <t>Display layer</t>
  </si>
  <si>
    <t>Formula_Hub</t>
  </si>
  <si>
    <t>B4:B25</t>
  </si>
  <si>
    <t>Core formulas</t>
  </si>
  <si>
    <t>Central calculation hub.</t>
  </si>
  <si>
    <t>Display sheets reference this</t>
  </si>
  <si>
    <t>A28:O39</t>
  </si>
  <si>
    <t>SUMIFS + date window</t>
  </si>
  <si>
    <t>Monthly summary.</t>
  </si>
  <si>
    <t>Rows 4:500</t>
  </si>
  <si>
    <t>A44:P57</t>
  </si>
  <si>
    <t>Category summary.</t>
  </si>
  <si>
    <t>Extend if adding categories</t>
  </si>
  <si>
    <t>Monthly_Summary</t>
  </si>
  <si>
    <t>Full sheet</t>
  </si>
  <si>
    <t>References Formula_Hub</t>
  </si>
  <si>
    <t>Monthly display.</t>
  </si>
  <si>
    <t>Display</t>
  </si>
  <si>
    <t>Category_Summary</t>
  </si>
  <si>
    <t>Category display.</t>
  </si>
  <si>
    <t>Annual_Projection</t>
  </si>
  <si>
    <t>Annual scenarios.</t>
  </si>
  <si>
    <t>Emergency_Fund</t>
  </si>
  <si>
    <t>References Formula_Hub + Input_Settings</t>
  </si>
  <si>
    <t>Emergency fund.</t>
  </si>
  <si>
    <t>Investable_Cash</t>
  </si>
  <si>
    <t>Investable cash.</t>
  </si>
  <si>
    <t>Dashboard</t>
  </si>
  <si>
    <t>Main dashboard.</t>
  </si>
  <si>
    <t>Core Formula Dictionary</t>
  </si>
  <si>
    <t>Formula</t>
  </si>
  <si>
    <t>Use in this template</t>
  </si>
  <si>
    <t>Conditional aggregation</t>
  </si>
  <si>
    <t>Summarizes by date, scope, category, and type</t>
  </si>
  <si>
    <t>IF</t>
  </si>
  <si>
    <t>Rule logic</t>
  </si>
  <si>
    <t>Tax toggle, data checks, safety levels</t>
  </si>
  <si>
    <t>IFERROR</t>
  </si>
  <si>
    <t>Error handling</t>
  </si>
  <si>
    <t>Avoids divide-by-zero display issues</t>
  </si>
  <si>
    <t>VLOOKUP</t>
  </si>
  <si>
    <t>Default tax type lookup</t>
  </si>
  <si>
    <t>Finds default tax type by category</t>
  </si>
  <si>
    <t>MAX</t>
  </si>
  <si>
    <t>Larger-value selection</t>
  </si>
  <si>
    <t>Cash reserve and stress test</t>
  </si>
  <si>
    <t>DATE / LEFT / RIGHT</t>
  </si>
  <si>
    <t>Build date windows</t>
  </si>
  <si>
    <t>Generates month windows from YYYY-MM text</t>
  </si>
  <si>
    <t>Options and Drop-down Lists</t>
  </si>
  <si>
    <t>This sheet feeds data validation lists.</t>
  </si>
  <si>
    <t>Yes/No</t>
  </si>
  <si>
    <t>Auto</t>
  </si>
  <si>
    <t>Scholarship</t>
  </si>
  <si>
    <t>Ontario</t>
  </si>
  <si>
    <t>Government Benefit</t>
  </si>
  <si>
    <t>British Columbia</t>
  </si>
  <si>
    <t>Investment Income</t>
  </si>
  <si>
    <t>Alberta</t>
  </si>
  <si>
    <t>Excluded</t>
  </si>
  <si>
    <t>Custom</t>
  </si>
  <si>
    <t>Rental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</si>
</sst>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\$#,##0.00"/>
    <numFmt numFmtId="178" formatCode="0.000%"/>
    <numFmt numFmtId="179" formatCode="0.00_);[Red]\(0.00\)"/>
  </numFmts>
  <fonts count="5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i/>
      <sz val="11"/>
      <color rgb="FF666666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center" wrapText="1"/>
    </xf>
    <xf numFmtId="177" fontId="0" fillId="0" borderId="0" xfId="0" applyNumberFormat="1"/>
    <xf numFmtId="177" fontId="3" fillId="3" borderId="0" xfId="0" applyNumberFormat="1" applyFont="1" applyFill="1" applyAlignment="1">
      <alignment horizontal="center" wrapText="1"/>
    </xf>
    <xf numFmtId="10" fontId="0" fillId="0" borderId="0" xfId="0" applyNumberFormat="1"/>
    <xf numFmtId="176" fontId="0" fillId="0" borderId="0" xfId="0" applyNumberFormat="1"/>
    <xf numFmtId="177" fontId="0" fillId="4" borderId="0" xfId="0" applyNumberFormat="1" applyFill="1"/>
    <xf numFmtId="0" fontId="0" fillId="4" borderId="0" xfId="0" applyFill="1"/>
    <xf numFmtId="178" fontId="0" fillId="4" borderId="0" xfId="0" applyNumberFormat="1" applyFill="1"/>
    <xf numFmtId="10" fontId="0" fillId="5" borderId="0" xfId="0" applyNumberFormat="1" applyFill="1"/>
    <xf numFmtId="0" fontId="0" fillId="0" borderId="0" xfId="0" applyAlignment="1">
      <alignment horizontal="center"/>
    </xf>
    <xf numFmtId="179" fontId="0" fillId="0" borderId="0" xfId="0" applyNumberFormat="1"/>
  </cellXfs>
  <cellStyles count="1">
    <cellStyle name="常规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altLang="zh-CN"/>
              <a:t>Mothly Income VS Expens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Dashboard!$B$20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D0-46C8-A8C9-0AF953A92C5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D0-46C8-A8C9-0AF953A92C5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D0-46C8-A8C9-0AF953A92C5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0D0-46C8-A8C9-0AF953A92C5A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0D0-46C8-A8C9-0AF953A92C5A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0D0-46C8-A8C9-0AF953A92C5A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0D0-46C8-A8C9-0AF953A92C5A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0D0-46C8-A8C9-0AF953A92C5A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0D0-46C8-A8C9-0AF953A92C5A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0D0-46C8-A8C9-0AF953A92C5A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0D0-46C8-A8C9-0AF953A92C5A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0D0-46C8-A8C9-0AF953A92C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Dashboard!$A$21:$A$32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Dashboard!$B$21:$B$32</c:f>
              <c:numCache>
                <c:formatCode>General</c:formatCode>
                <c:ptCount val="12"/>
                <c:pt idx="0">
                  <c:v>6000</c:v>
                </c:pt>
                <c:pt idx="1">
                  <c:v>6900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18-60D0-46C8-A8C9-0AF953A92C5A}"/>
            </c:ext>
          </c:extLst>
        </c:ser>
        <c:ser>
          <c:idx val="1"/>
          <c:order val="1"/>
          <c:tx>
            <c:strRef>
              <c:f>Dashboard!$C$20</c:f>
              <c:strCache>
                <c:ptCount val="1"/>
                <c:pt idx="0">
                  <c:v>Personal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Dashboard!$A$21:$A$32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Dashboard!$C$21:$C$32</c:f>
              <c:numCache>
                <c:formatCode>General</c:formatCode>
                <c:ptCount val="12"/>
                <c:pt idx="0">
                  <c:v>5000</c:v>
                </c:pt>
                <c:pt idx="1">
                  <c:v>5300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0D0-46C8-A8C9-0AF953A92C5A}"/>
            </c:ext>
          </c:extLst>
        </c:ser>
        <c:ser>
          <c:idx val="2"/>
          <c:order val="2"/>
          <c:tx>
            <c:strRef>
              <c:f>Dashboard!$D$20</c:f>
              <c:strCache>
                <c:ptCount val="1"/>
                <c:pt idx="0">
                  <c:v>Estimated Sales Tax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Dashboard!$A$21:$A$32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Dashboard!$D$21:$D$32</c:f>
              <c:numCache>
                <c:formatCode>0.00_);[Red]\(0.00\)</c:formatCode>
                <c:ptCount val="12"/>
                <c:pt idx="0">
                  <c:v>148.48010437051533</c:v>
                </c:pt>
                <c:pt idx="1">
                  <c:v>169.9706457925636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0D0-46C8-A8C9-0AF953A92C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10002"/>
        <c:crosses val="autoZero"/>
        <c:auto val="1"/>
        <c:lblAlgn val="ctr"/>
        <c:lblOffset val="100"/>
        <c:noMultiLvlLbl val="1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share</a:t>
            </a:r>
          </a:p>
        </c:rich>
      </c:tx>
      <c:layout>
        <c:manualLayout>
          <c:xMode val="edge"/>
          <c:yMode val="edge"/>
          <c:x val="5.4059162160047608E-2"/>
          <c:y val="2.962962962962963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480185644112676"/>
          <c:y val="5.9259259259259262E-2"/>
          <c:w val="0.54021692100745911"/>
          <c:h val="0.89135802469135805"/>
        </c:manualLayout>
      </c:layout>
      <c:pieChart>
        <c:varyColors val="1"/>
        <c:ser>
          <c:idx val="0"/>
          <c:order val="0"/>
          <c:tx>
            <c:strRef>
              <c:f>Dashboard!$H$20</c:f>
              <c:strCache>
                <c:ptCount val="1"/>
                <c:pt idx="0">
                  <c:v>Monthly Avg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B6-4A2F-8378-CD34EF52DA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B6-4A2F-8378-CD34EF52DA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B6-4A2F-8378-CD34EF52DA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B6-4A2F-8378-CD34EF52DA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B6-4A2F-8378-CD34EF52DA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B6-4A2F-8378-CD34EF52DA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B6-4A2F-8378-CD34EF52DA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B6-4A2F-8378-CD34EF52DA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B6-4A2F-8378-CD34EF52DA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B6-4A2F-8378-CD34EF52DA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B6-4A2F-8378-CD34EF52DA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B6-4A2F-8378-CD34EF52DA1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CCB6-4A2F-8378-CD34EF52DA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Dashboard!$G$21:$G$33</c:f>
              <c:strCache>
                <c:ptCount val="13"/>
                <c:pt idx="0">
                  <c:v>Housing</c:v>
                </c:pt>
                <c:pt idx="1">
                  <c:v>Food &amp; Dining</c:v>
                </c:pt>
                <c:pt idx="2">
                  <c:v>Transportation</c:v>
                </c:pt>
                <c:pt idx="3">
                  <c:v>Telecom</c:v>
                </c:pt>
                <c:pt idx="4">
                  <c:v>Subscriptions</c:v>
                </c:pt>
                <c:pt idx="5">
                  <c:v>Shopping</c:v>
                </c:pt>
                <c:pt idx="6">
                  <c:v>Medical</c:v>
                </c:pt>
                <c:pt idx="7">
                  <c:v>Fitness</c:v>
                </c:pt>
                <c:pt idx="8">
                  <c:v>Education</c:v>
                </c:pt>
                <c:pt idx="9">
                  <c:v>Pet</c:v>
                </c:pt>
                <c:pt idx="10">
                  <c:v>Entertainment</c:v>
                </c:pt>
                <c:pt idx="11">
                  <c:v>Taxes &amp; Gov Fees</c:v>
                </c:pt>
                <c:pt idx="12">
                  <c:v>Other</c:v>
                </c:pt>
              </c:strCache>
            </c:strRef>
          </c:cat>
          <c:val>
            <c:numRef>
              <c:f>Dashboard!$H$21:$H$33</c:f>
              <c:numCache>
                <c:formatCode>General</c:formatCode>
                <c:ptCount val="13"/>
                <c:pt idx="0">
                  <c:v>3000</c:v>
                </c:pt>
                <c:pt idx="1">
                  <c:v>820</c:v>
                </c:pt>
                <c:pt idx="2">
                  <c:v>240</c:v>
                </c:pt>
                <c:pt idx="3">
                  <c:v>60</c:v>
                </c:pt>
                <c:pt idx="4">
                  <c:v>37.5</c:v>
                </c:pt>
                <c:pt idx="5">
                  <c:v>275</c:v>
                </c:pt>
                <c:pt idx="6">
                  <c:v>90</c:v>
                </c:pt>
                <c:pt idx="7">
                  <c:v>70</c:v>
                </c:pt>
                <c:pt idx="8">
                  <c:v>130</c:v>
                </c:pt>
                <c:pt idx="9">
                  <c:v>95</c:v>
                </c:pt>
                <c:pt idx="10">
                  <c:v>110</c:v>
                </c:pt>
                <c:pt idx="11">
                  <c:v>125</c:v>
                </c:pt>
                <c:pt idx="12">
                  <c:v>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CB6-4A2F-8378-CD34EF52DA1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1023936</xdr:colOff>
      <xdr:row>33</xdr:row>
      <xdr:rowOff>9525</xdr:rowOff>
    </xdr:from>
    <xdr:to>
      <xdr:col>3</xdr:col>
      <xdr:colOff>1271587</xdr:colOff>
      <xdr:row>48</xdr:row>
      <xdr:rowOff>168273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5945D3D-634B-43E7-BA31-1B2150BFD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1271588</xdr:colOff>
      <xdr:row>34</xdr:row>
      <xdr:rowOff>0</xdr:rowOff>
    </xdr:from>
    <xdr:to>
      <xdr:col>9</xdr:col>
      <xdr:colOff>1276350</xdr:colOff>
      <xdr:row>49</xdr:row>
      <xdr:rowOff>19050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C595690-7E5A-484B-8301-18CD49F37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B5B54-06CC-4D0F-A8F1-438213FACEC2}" name="表1" displayName="表1" ref="A3:J500" totalsRowShown="0" headerRowDxfId="1">
  <autoFilter ref="A3:J500" xr:uid="{3CEB5B54-06CC-4D0F-A8F1-438213FACEC2}"/>
  <tableColumns count="10">
    <tableColumn id="1" xr3:uid="{0BB6FD8C-43C2-4090-A617-0F1E1F0EA533}" name="Record ID"/>
    <tableColumn id="2" xr3:uid="{AE8F418A-D7A0-4A1B-9DC2-581A0B87425D}" name="Date"/>
    <tableColumn id="3" xr3:uid="{2470E14C-4B48-411C-8249-DC1E38675EA3}" name="Expense Description"/>
    <tableColumn id="4" xr3:uid="{E5427675-0DD5-414E-8DB1-84EDFC4AF942}" name="Expense Amount"/>
    <tableColumn id="5" xr3:uid="{0787B6A4-1587-4526-8420-AAF68F49EF61}" name="Main Category"/>
    <tableColumn id="6" xr3:uid="{824B2E1A-1B9D-4B6A-BD14-591AA7EB8B30}" name="Expense Nature"/>
    <tableColumn id="7" xr3:uid="{2E985159-E949-4ED4-ADB7-95F965FD9913}" name="Necessity"/>
    <tableColumn id="8" xr3:uid="{66A80BB3-E0BB-4C63-B020-05918F5E63F0}" name="Analysis Scope"/>
    <tableColumn id="9" xr3:uid="{127371D8-B236-46A4-AFC4-02E194AAE3CA}" name="Tax Type"/>
    <tableColumn id="10" xr3:uid="{8EDC35F1-4716-412E-9A03-51BADB750218}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9B827-CB68-4D3C-BD84-E8D86E09EDAD}" name="表2" displayName="表2" ref="A3:F500" totalsRowShown="0" headerRowDxfId="0">
  <autoFilter ref="A3:F500" xr:uid="{9859B827-CB68-4D3C-BD84-E8D86E09EDAD}"/>
  <tableColumns count="6">
    <tableColumn id="1" xr3:uid="{81F901AE-269B-43B6-957E-D934DA58E30E}" name="Record ID"/>
    <tableColumn id="2" xr3:uid="{200B3E6E-A837-4AA4-9C0C-95F8A108D0F6}" name="Date"/>
    <tableColumn id="3" xr3:uid="{CCBDD3D3-5429-46FA-ADC7-8B3D56A7C26F}" name="Income Source"/>
    <tableColumn id="4" xr3:uid="{531BA9F1-9634-49BD-BE39-1D049CE49E67}" name="Income Amount"/>
    <tableColumn id="5" xr3:uid="{E0DDC076-9EC3-4D6B-9D02-99CF871570DE}" name="Income Type"/>
    <tableColumn id="6" xr3:uid="{01086EB5-9B9A-45FB-8167-031CF0FD689D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35" sqref="B35"/>
    </sheetView>
  </sheetViews>
  <sheetFormatPr defaultRowHeight="13.5" x14ac:dyDescent="0.3"/>
  <cols>
    <col min="1" max="1" width="36" customWidth="1"/>
    <col min="2" max="2" width="96" customWidth="1"/>
  </cols>
  <sheetData>
    <row r="1" spans="1:2" ht="17.649999999999999" x14ac:dyDescent="0.4">
      <c r="A1" s="1" t="s">
        <v>0</v>
      </c>
    </row>
    <row r="2" spans="1:2" x14ac:dyDescent="0.3">
      <c r="A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10" spans="1:2" x14ac:dyDescent="0.3">
      <c r="A10" t="s">
        <v>14</v>
      </c>
    </row>
    <row r="11" spans="1:2" x14ac:dyDescent="0.3">
      <c r="A11" t="s">
        <v>15</v>
      </c>
    </row>
    <row r="12" spans="1:2" x14ac:dyDescent="0.3">
      <c r="A12" t="s">
        <v>16</v>
      </c>
    </row>
    <row r="13" spans="1:2" x14ac:dyDescent="0.3">
      <c r="A13" t="s">
        <v>17</v>
      </c>
    </row>
    <row r="14" spans="1:2" x14ac:dyDescent="0.3">
      <c r="A14" t="s">
        <v>18</v>
      </c>
    </row>
    <row r="15" spans="1:2" x14ac:dyDescent="0.3">
      <c r="A15" t="s">
        <v>19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tabSelected="1" topLeftCell="A10" workbookViewId="0">
      <selection activeCell="E29" sqref="E29"/>
    </sheetView>
  </sheetViews>
  <sheetFormatPr defaultRowHeight="13.5" x14ac:dyDescent="0.3"/>
  <cols>
    <col min="1" max="1" width="56.265625" bestFit="1" customWidth="1"/>
    <col min="2" max="10" width="18" customWidth="1"/>
  </cols>
  <sheetData>
    <row r="1" spans="1:10" ht="17.649999999999999" x14ac:dyDescent="0.4">
      <c r="A1" s="1" t="s">
        <v>20</v>
      </c>
    </row>
    <row r="2" spans="1:10" x14ac:dyDescent="0.3">
      <c r="A2" s="2" t="s">
        <v>21</v>
      </c>
    </row>
    <row r="3" spans="1:10" ht="27" x14ac:dyDescent="0.3">
      <c r="A3" s="3" t="s">
        <v>22</v>
      </c>
      <c r="B3" s="4"/>
      <c r="C3" s="4"/>
      <c r="D3" s="3" t="s">
        <v>23</v>
      </c>
      <c r="E3" s="4"/>
      <c r="F3" s="4"/>
      <c r="G3" s="3" t="s">
        <v>24</v>
      </c>
      <c r="H3" s="4"/>
      <c r="I3" s="4"/>
      <c r="J3" s="3" t="s">
        <v>25</v>
      </c>
    </row>
    <row r="4" spans="1:10" x14ac:dyDescent="0.3">
      <c r="A4" s="4">
        <f>Formula_Hub!$B$7</f>
        <v>5150</v>
      </c>
      <c r="B4" s="4"/>
      <c r="C4" s="4"/>
      <c r="D4" s="4">
        <f>Formula_Hub!$B$8</f>
        <v>4000</v>
      </c>
      <c r="E4" s="4"/>
      <c r="F4" s="4"/>
      <c r="G4" s="4">
        <f>Formula_Hub!$B$9</f>
        <v>1150</v>
      </c>
      <c r="H4" s="4"/>
      <c r="I4" s="4"/>
      <c r="J4" s="4">
        <f>Formula_Hub!$B$17</f>
        <v>61800</v>
      </c>
    </row>
    <row r="5" spans="1:10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27" x14ac:dyDescent="0.3">
      <c r="A7" s="5" t="s">
        <v>26</v>
      </c>
      <c r="B7" s="4"/>
      <c r="C7" s="4"/>
      <c r="D7" s="5" t="s">
        <v>27</v>
      </c>
      <c r="E7" s="4"/>
      <c r="F7" s="4"/>
      <c r="G7" s="5" t="s">
        <v>28</v>
      </c>
      <c r="H7" s="4"/>
      <c r="I7" s="4"/>
      <c r="J7" s="5" t="s">
        <v>29</v>
      </c>
    </row>
    <row r="8" spans="1:10" x14ac:dyDescent="0.3">
      <c r="A8" s="4">
        <f>Formula_Hub!$B$16</f>
        <v>5.825242718446602</v>
      </c>
      <c r="B8" s="4"/>
      <c r="C8" s="4"/>
      <c r="D8" s="4">
        <f>Formula_Hub!$B$21</f>
        <v>0</v>
      </c>
      <c r="E8" s="4"/>
      <c r="F8" s="4"/>
      <c r="G8" s="4">
        <f>Formula_Hub!$B$24</f>
        <v>318.45075016307896</v>
      </c>
      <c r="H8" s="4"/>
      <c r="I8" s="4"/>
      <c r="J8" s="4" t="str">
        <f>Formula_Hub!$B$25</f>
        <v>Enabled</v>
      </c>
    </row>
    <row r="12" spans="1:10" x14ac:dyDescent="0.3">
      <c r="A12" t="s">
        <v>30</v>
      </c>
    </row>
    <row r="13" spans="1:10" x14ac:dyDescent="0.3">
      <c r="A13" t="s">
        <v>31</v>
      </c>
      <c r="B13" t="str">
        <f>Formula_Hub!$B$23</f>
        <v>Tight</v>
      </c>
    </row>
    <row r="14" spans="1:10" x14ac:dyDescent="0.3">
      <c r="A14" t="s">
        <v>32</v>
      </c>
      <c r="B14" t="str">
        <f>IF(Formula_Hub!$B$22&gt;0,"Current cash reserve has a shortfall; prioritize rebuilding the reserve",IF(Formula_Hub!$B$21&gt;0,"There is a potential amount to invest gradually","Enter current cash in Input_Settings first"))</f>
        <v>Current cash reserve has a shortfall; prioritize rebuilding the reserve</v>
      </c>
    </row>
    <row r="15" spans="1:10" x14ac:dyDescent="0.3">
      <c r="A15" t="s">
        <v>33</v>
      </c>
      <c r="B15" t="str">
        <f>IF(Sales_Tax_Settings!$B$5="Yes","Sales tax estimate is enabled; this is not a refund, credit, or deductible amount","Sales tax estimate is disabled")</f>
        <v>Sales tax estimate is enabled; this is not a refund, credit, or deductible amount</v>
      </c>
    </row>
    <row r="19" spans="1:10" x14ac:dyDescent="0.3">
      <c r="A19" s="12" t="s">
        <v>34</v>
      </c>
      <c r="B19" s="12"/>
      <c r="C19" s="12"/>
      <c r="D19" s="12"/>
      <c r="E19" s="12"/>
      <c r="G19" t="s">
        <v>35</v>
      </c>
    </row>
    <row r="20" spans="1:10" ht="27" x14ac:dyDescent="0.3">
      <c r="A20" s="3" t="s">
        <v>36</v>
      </c>
      <c r="B20" s="3" t="s">
        <v>37</v>
      </c>
      <c r="C20" s="3" t="s">
        <v>38</v>
      </c>
      <c r="D20" s="3" t="s">
        <v>39</v>
      </c>
      <c r="E20" s="3" t="s">
        <v>40</v>
      </c>
      <c r="G20" s="3" t="s">
        <v>41</v>
      </c>
      <c r="H20" s="3" t="s">
        <v>42</v>
      </c>
      <c r="I20" s="3" t="s">
        <v>43</v>
      </c>
      <c r="J20" s="3"/>
    </row>
    <row r="21" spans="1:10" x14ac:dyDescent="0.3">
      <c r="A21" t="str">
        <f>Monthly_Summary!A4</f>
        <v>2026-01</v>
      </c>
      <c r="B21">
        <f>Monthly_Summary!B4</f>
        <v>6000</v>
      </c>
      <c r="C21">
        <f>Monthly_Summary!C4</f>
        <v>5000</v>
      </c>
      <c r="D21" s="13">
        <f>Formula_Hub!O28</f>
        <v>148.48010437051533</v>
      </c>
      <c r="E21">
        <f>Formula_Hub!J28</f>
        <v>1000</v>
      </c>
      <c r="G21" t="str">
        <f>Category_Summary!A4</f>
        <v>Housing</v>
      </c>
      <c r="H21">
        <f>Category_Summary!N4</f>
        <v>3000</v>
      </c>
      <c r="I21" s="6">
        <f>Category_Summary!P4</f>
        <v>0.58252427184466016</v>
      </c>
    </row>
    <row r="22" spans="1:10" x14ac:dyDescent="0.3">
      <c r="A22" t="str">
        <f>Monthly_Summary!A5</f>
        <v>2026-02</v>
      </c>
      <c r="B22">
        <f>Monthly_Summary!B5</f>
        <v>6900</v>
      </c>
      <c r="C22">
        <f>Monthly_Summary!C5</f>
        <v>5300</v>
      </c>
      <c r="D22" s="13">
        <f>Formula_Hub!O29</f>
        <v>169.9706457925636</v>
      </c>
      <c r="E22">
        <f>Formula_Hub!J29</f>
        <v>1600</v>
      </c>
      <c r="G22" t="str">
        <f>Category_Summary!A5</f>
        <v>Food &amp; Dining</v>
      </c>
      <c r="H22">
        <f>Category_Summary!N5</f>
        <v>820</v>
      </c>
      <c r="I22" s="6">
        <f>Category_Summary!P5</f>
        <v>0.15922330097087378</v>
      </c>
    </row>
    <row r="23" spans="1:10" x14ac:dyDescent="0.3">
      <c r="A23" t="str">
        <f>Monthly_Summary!A6</f>
        <v>2026-03</v>
      </c>
      <c r="B23">
        <f>Monthly_Summary!B6</f>
        <v>0</v>
      </c>
      <c r="C23">
        <f>Monthly_Summary!C6</f>
        <v>0</v>
      </c>
      <c r="D23" s="13">
        <f>Formula_Hub!O30</f>
        <v>0</v>
      </c>
      <c r="E23">
        <f>Formula_Hub!J30</f>
        <v>0</v>
      </c>
      <c r="G23" t="str">
        <f>Category_Summary!A6</f>
        <v>Transportation</v>
      </c>
      <c r="H23">
        <f>Category_Summary!N6</f>
        <v>240</v>
      </c>
      <c r="I23" s="6">
        <f>Category_Summary!P6</f>
        <v>4.6601941747572817E-2</v>
      </c>
    </row>
    <row r="24" spans="1:10" x14ac:dyDescent="0.3">
      <c r="A24" t="str">
        <f>Monthly_Summary!A7</f>
        <v>2026-04</v>
      </c>
      <c r="B24">
        <f>Monthly_Summary!B7</f>
        <v>0</v>
      </c>
      <c r="C24">
        <f>Monthly_Summary!C7</f>
        <v>0</v>
      </c>
      <c r="D24" s="13">
        <f>Formula_Hub!O31</f>
        <v>0</v>
      </c>
      <c r="E24">
        <f>Formula_Hub!J31</f>
        <v>0</v>
      </c>
      <c r="G24" t="str">
        <f>Category_Summary!A7</f>
        <v>Telecom</v>
      </c>
      <c r="H24">
        <f>Category_Summary!N7</f>
        <v>60</v>
      </c>
      <c r="I24" s="6">
        <f>Category_Summary!P7</f>
        <v>1.1650485436893204E-2</v>
      </c>
    </row>
    <row r="25" spans="1:10" x14ac:dyDescent="0.3">
      <c r="A25" t="str">
        <f>Monthly_Summary!A8</f>
        <v>2026-05</v>
      </c>
      <c r="B25">
        <f>Monthly_Summary!B8</f>
        <v>0</v>
      </c>
      <c r="C25">
        <f>Monthly_Summary!C8</f>
        <v>0</v>
      </c>
      <c r="D25" s="13">
        <f>Formula_Hub!O32</f>
        <v>0</v>
      </c>
      <c r="E25">
        <f>Formula_Hub!J32</f>
        <v>0</v>
      </c>
      <c r="G25" t="str">
        <f>Category_Summary!A8</f>
        <v>Subscriptions</v>
      </c>
      <c r="H25">
        <f>Category_Summary!N8</f>
        <v>37.5</v>
      </c>
      <c r="I25" s="6">
        <f>Category_Summary!P8</f>
        <v>7.2815533980582527E-3</v>
      </c>
    </row>
    <row r="26" spans="1:10" x14ac:dyDescent="0.3">
      <c r="A26" t="str">
        <f>Monthly_Summary!A9</f>
        <v>2026-06</v>
      </c>
      <c r="B26">
        <f>Monthly_Summary!B9</f>
        <v>0</v>
      </c>
      <c r="C26">
        <f>Monthly_Summary!C9</f>
        <v>0</v>
      </c>
      <c r="D26" s="13">
        <f>Formula_Hub!O33</f>
        <v>0</v>
      </c>
      <c r="E26">
        <f>Formula_Hub!J33</f>
        <v>0</v>
      </c>
      <c r="G26" t="str">
        <f>Category_Summary!A9</f>
        <v>Shopping</v>
      </c>
      <c r="H26">
        <f>Category_Summary!N9</f>
        <v>275</v>
      </c>
      <c r="I26" s="6">
        <f>Category_Summary!P9</f>
        <v>5.3398058252427182E-2</v>
      </c>
    </row>
    <row r="27" spans="1:10" x14ac:dyDescent="0.3">
      <c r="A27" t="str">
        <f>Monthly_Summary!A10</f>
        <v>2026-07</v>
      </c>
      <c r="B27">
        <f>Monthly_Summary!B10</f>
        <v>0</v>
      </c>
      <c r="C27">
        <f>Monthly_Summary!C10</f>
        <v>0</v>
      </c>
      <c r="D27" s="13">
        <f>Formula_Hub!O34</f>
        <v>0</v>
      </c>
      <c r="E27">
        <f>Formula_Hub!J34</f>
        <v>0</v>
      </c>
      <c r="G27" t="str">
        <f>Category_Summary!A10</f>
        <v>Medical</v>
      </c>
      <c r="H27">
        <f>Category_Summary!N10</f>
        <v>90</v>
      </c>
      <c r="I27" s="6">
        <f>Category_Summary!P10</f>
        <v>1.7475728155339806E-2</v>
      </c>
    </row>
    <row r="28" spans="1:10" x14ac:dyDescent="0.3">
      <c r="A28" t="str">
        <f>Monthly_Summary!A11</f>
        <v>2026-08</v>
      </c>
      <c r="B28">
        <f>Monthly_Summary!B11</f>
        <v>0</v>
      </c>
      <c r="C28">
        <f>Monthly_Summary!C11</f>
        <v>0</v>
      </c>
      <c r="D28" s="13">
        <f>Formula_Hub!O35</f>
        <v>0</v>
      </c>
      <c r="E28">
        <f>Formula_Hub!J35</f>
        <v>0</v>
      </c>
      <c r="G28" t="str">
        <f>Category_Summary!A11</f>
        <v>Fitness</v>
      </c>
      <c r="H28">
        <f>Category_Summary!N11</f>
        <v>70</v>
      </c>
      <c r="I28" s="6">
        <f>Category_Summary!P11</f>
        <v>1.3592233009708738E-2</v>
      </c>
    </row>
    <row r="29" spans="1:10" x14ac:dyDescent="0.3">
      <c r="A29" t="str">
        <f>Monthly_Summary!A12</f>
        <v>2026-09</v>
      </c>
      <c r="B29">
        <f>Monthly_Summary!B12</f>
        <v>0</v>
      </c>
      <c r="C29">
        <f>Monthly_Summary!C12</f>
        <v>0</v>
      </c>
      <c r="D29" s="13">
        <f>Formula_Hub!O36</f>
        <v>0</v>
      </c>
      <c r="E29">
        <f>Formula_Hub!J36</f>
        <v>0</v>
      </c>
      <c r="G29" t="str">
        <f>Category_Summary!A12</f>
        <v>Education</v>
      </c>
      <c r="H29">
        <f>Category_Summary!N12</f>
        <v>130</v>
      </c>
      <c r="I29" s="6">
        <f>Category_Summary!P12</f>
        <v>2.524271844660194E-2</v>
      </c>
    </row>
    <row r="30" spans="1:10" x14ac:dyDescent="0.3">
      <c r="A30" t="str">
        <f>Monthly_Summary!A13</f>
        <v>2026-10</v>
      </c>
      <c r="B30">
        <f>Monthly_Summary!B13</f>
        <v>0</v>
      </c>
      <c r="C30">
        <f>Monthly_Summary!C13</f>
        <v>0</v>
      </c>
      <c r="D30" s="13">
        <f>Formula_Hub!O37</f>
        <v>0</v>
      </c>
      <c r="E30">
        <f>Formula_Hub!J37</f>
        <v>0</v>
      </c>
      <c r="G30" t="str">
        <f>Category_Summary!A13</f>
        <v>Pet</v>
      </c>
      <c r="H30">
        <f>Category_Summary!N13</f>
        <v>95</v>
      </c>
      <c r="I30" s="6">
        <f>Category_Summary!P13</f>
        <v>1.8446601941747572E-2</v>
      </c>
    </row>
    <row r="31" spans="1:10" x14ac:dyDescent="0.3">
      <c r="A31" t="str">
        <f>Monthly_Summary!A14</f>
        <v>2026-11</v>
      </c>
      <c r="B31">
        <f>Monthly_Summary!B14</f>
        <v>0</v>
      </c>
      <c r="C31">
        <f>Monthly_Summary!C14</f>
        <v>0</v>
      </c>
      <c r="D31" s="13">
        <f>Formula_Hub!O38</f>
        <v>0</v>
      </c>
      <c r="E31">
        <f>Formula_Hub!J38</f>
        <v>0</v>
      </c>
      <c r="G31" t="str">
        <f>Category_Summary!A14</f>
        <v>Entertainment</v>
      </c>
      <c r="H31">
        <f>Category_Summary!N14</f>
        <v>110</v>
      </c>
      <c r="I31" s="6">
        <f>Category_Summary!P14</f>
        <v>2.1359223300970873E-2</v>
      </c>
    </row>
    <row r="32" spans="1:10" x14ac:dyDescent="0.3">
      <c r="A32" t="str">
        <f>Monthly_Summary!A15</f>
        <v>2026-12</v>
      </c>
      <c r="B32">
        <f>Monthly_Summary!B15</f>
        <v>0</v>
      </c>
      <c r="C32">
        <f>Monthly_Summary!C15</f>
        <v>0</v>
      </c>
      <c r="D32" s="13">
        <f>Formula_Hub!O39</f>
        <v>0</v>
      </c>
      <c r="E32">
        <f>Formula_Hub!J39</f>
        <v>0</v>
      </c>
      <c r="G32" t="str">
        <f>Category_Summary!A15</f>
        <v>Taxes &amp; Gov Fees</v>
      </c>
      <c r="H32">
        <f>Category_Summary!N15</f>
        <v>125</v>
      </c>
      <c r="I32" s="6">
        <f>Category_Summary!P15</f>
        <v>2.4271844660194174E-2</v>
      </c>
    </row>
    <row r="33" spans="7:9" x14ac:dyDescent="0.3">
      <c r="G33" t="str">
        <f>Category_Summary!A16</f>
        <v>Other</v>
      </c>
      <c r="H33">
        <f>Category_Summary!N16</f>
        <v>97.5</v>
      </c>
      <c r="I33" s="6">
        <f>Category_Summary!P16</f>
        <v>1.8932038834951457E-2</v>
      </c>
    </row>
  </sheetData>
  <mergeCells count="1">
    <mergeCell ref="A19:E19"/>
  </mergeCells>
  <phoneticPr fontId="4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pane ySplit="3" topLeftCell="A4" activePane="bottomLeft" state="frozen"/>
      <selection pane="bottomLeft" activeCell="G38" sqref="G38"/>
    </sheetView>
  </sheetViews>
  <sheetFormatPr defaultRowHeight="13.5" x14ac:dyDescent="0.3"/>
  <cols>
    <col min="1" max="2" width="18" customWidth="1"/>
    <col min="3" max="3" width="32" customWidth="1"/>
    <col min="4" max="9" width="18" customWidth="1"/>
    <col min="10" max="10" width="42" customWidth="1"/>
  </cols>
  <sheetData>
    <row r="1" spans="1:10" ht="17.649999999999999" x14ac:dyDescent="0.4">
      <c r="A1" s="1" t="s">
        <v>44</v>
      </c>
    </row>
    <row r="2" spans="1:10" x14ac:dyDescent="0.3">
      <c r="A2" s="2" t="s">
        <v>45</v>
      </c>
    </row>
    <row r="3" spans="1:10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</row>
    <row r="4" spans="1:10" x14ac:dyDescent="0.3">
      <c r="A4" t="s">
        <v>56</v>
      </c>
      <c r="B4" s="7">
        <v>46023</v>
      </c>
      <c r="C4" t="s">
        <v>57</v>
      </c>
      <c r="D4" s="4">
        <v>3000</v>
      </c>
      <c r="E4" t="s">
        <v>58</v>
      </c>
      <c r="F4" t="s">
        <v>59</v>
      </c>
      <c r="G4" t="s">
        <v>60</v>
      </c>
      <c r="H4" t="s">
        <v>38</v>
      </c>
      <c r="I4" t="s">
        <v>61</v>
      </c>
      <c r="J4" t="s">
        <v>62</v>
      </c>
    </row>
    <row r="5" spans="1:10" x14ac:dyDescent="0.3">
      <c r="A5" t="s">
        <v>63</v>
      </c>
      <c r="B5" s="7">
        <v>46025</v>
      </c>
      <c r="C5" t="s">
        <v>64</v>
      </c>
      <c r="D5" s="4">
        <v>450</v>
      </c>
      <c r="E5" t="s">
        <v>65</v>
      </c>
      <c r="F5" t="s">
        <v>66</v>
      </c>
      <c r="G5" t="s">
        <v>60</v>
      </c>
      <c r="H5" t="s">
        <v>38</v>
      </c>
      <c r="I5" t="s">
        <v>67</v>
      </c>
      <c r="J5" t="s">
        <v>64</v>
      </c>
    </row>
    <row r="6" spans="1:10" x14ac:dyDescent="0.3">
      <c r="A6" t="s">
        <v>68</v>
      </c>
      <c r="B6" s="7">
        <v>46027</v>
      </c>
      <c r="C6" t="s">
        <v>69</v>
      </c>
      <c r="D6" s="4">
        <v>320</v>
      </c>
      <c r="E6" t="s">
        <v>65</v>
      </c>
      <c r="F6" t="s">
        <v>66</v>
      </c>
      <c r="G6" t="s">
        <v>70</v>
      </c>
      <c r="H6" t="s">
        <v>38</v>
      </c>
      <c r="I6" t="s">
        <v>71</v>
      </c>
    </row>
    <row r="7" spans="1:10" x14ac:dyDescent="0.3">
      <c r="A7" t="s">
        <v>72</v>
      </c>
      <c r="B7" s="7">
        <v>46029</v>
      </c>
      <c r="C7" t="s">
        <v>73</v>
      </c>
      <c r="D7" s="4">
        <v>220</v>
      </c>
      <c r="E7" t="s">
        <v>74</v>
      </c>
      <c r="F7" t="s">
        <v>66</v>
      </c>
      <c r="G7" t="s">
        <v>60</v>
      </c>
      <c r="H7" t="s">
        <v>38</v>
      </c>
      <c r="I7" t="s">
        <v>71</v>
      </c>
    </row>
    <row r="8" spans="1:10" x14ac:dyDescent="0.3">
      <c r="A8" t="s">
        <v>75</v>
      </c>
      <c r="B8" s="7">
        <v>46030</v>
      </c>
      <c r="C8" t="s">
        <v>76</v>
      </c>
      <c r="D8" s="4">
        <v>60</v>
      </c>
      <c r="E8" t="s">
        <v>77</v>
      </c>
      <c r="F8" t="s">
        <v>59</v>
      </c>
      <c r="G8" t="s">
        <v>60</v>
      </c>
      <c r="H8" t="s">
        <v>38</v>
      </c>
      <c r="I8" t="s">
        <v>71</v>
      </c>
    </row>
    <row r="9" spans="1:10" x14ac:dyDescent="0.3">
      <c r="A9" t="s">
        <v>78</v>
      </c>
      <c r="B9" s="7">
        <v>46031</v>
      </c>
      <c r="C9" t="s">
        <v>79</v>
      </c>
      <c r="D9" s="4">
        <v>30</v>
      </c>
      <c r="E9" t="s">
        <v>80</v>
      </c>
      <c r="F9" t="s">
        <v>59</v>
      </c>
      <c r="G9" t="s">
        <v>70</v>
      </c>
      <c r="H9" t="s">
        <v>38</v>
      </c>
      <c r="I9" t="s">
        <v>71</v>
      </c>
    </row>
    <row r="10" spans="1:10" x14ac:dyDescent="0.3">
      <c r="A10" t="s">
        <v>81</v>
      </c>
      <c r="B10" s="7">
        <v>46032</v>
      </c>
      <c r="C10" t="s">
        <v>82</v>
      </c>
      <c r="D10" s="4">
        <v>250</v>
      </c>
      <c r="E10" t="s">
        <v>82</v>
      </c>
      <c r="F10" t="s">
        <v>66</v>
      </c>
      <c r="G10" t="s">
        <v>70</v>
      </c>
      <c r="H10" t="s">
        <v>38</v>
      </c>
      <c r="I10" t="s">
        <v>71</v>
      </c>
    </row>
    <row r="11" spans="1:10" x14ac:dyDescent="0.3">
      <c r="A11" t="s">
        <v>83</v>
      </c>
      <c r="B11" s="7">
        <v>46034</v>
      </c>
      <c r="C11" t="s">
        <v>84</v>
      </c>
      <c r="D11" s="4">
        <v>80</v>
      </c>
      <c r="E11" t="s">
        <v>85</v>
      </c>
      <c r="F11" t="s">
        <v>66</v>
      </c>
      <c r="G11" t="s">
        <v>60</v>
      </c>
      <c r="H11" t="s">
        <v>38</v>
      </c>
      <c r="I11" t="s">
        <v>61</v>
      </c>
    </row>
    <row r="12" spans="1:10" x14ac:dyDescent="0.3">
      <c r="A12" t="s">
        <v>86</v>
      </c>
      <c r="B12" s="7">
        <v>46037</v>
      </c>
      <c r="C12" t="s">
        <v>87</v>
      </c>
      <c r="D12" s="4">
        <v>70</v>
      </c>
      <c r="E12" t="s">
        <v>88</v>
      </c>
      <c r="F12" t="s">
        <v>59</v>
      </c>
      <c r="G12" t="s">
        <v>70</v>
      </c>
      <c r="H12" t="s">
        <v>38</v>
      </c>
      <c r="I12" t="s">
        <v>71</v>
      </c>
    </row>
    <row r="13" spans="1:10" x14ac:dyDescent="0.3">
      <c r="A13" t="s">
        <v>89</v>
      </c>
      <c r="B13" s="7">
        <v>46038</v>
      </c>
      <c r="C13" t="s">
        <v>90</v>
      </c>
      <c r="D13" s="4">
        <v>120</v>
      </c>
      <c r="E13" t="s">
        <v>91</v>
      </c>
      <c r="F13" t="s">
        <v>92</v>
      </c>
      <c r="G13" t="s">
        <v>70</v>
      </c>
      <c r="H13" t="s">
        <v>38</v>
      </c>
      <c r="I13" t="s">
        <v>93</v>
      </c>
    </row>
    <row r="14" spans="1:10" x14ac:dyDescent="0.3">
      <c r="A14" t="s">
        <v>94</v>
      </c>
      <c r="B14" s="7">
        <v>46040</v>
      </c>
      <c r="C14" t="s">
        <v>95</v>
      </c>
      <c r="D14" s="4">
        <v>90</v>
      </c>
      <c r="E14" t="s">
        <v>96</v>
      </c>
      <c r="F14" t="s">
        <v>66</v>
      </c>
      <c r="G14" t="s">
        <v>70</v>
      </c>
      <c r="H14" t="s">
        <v>38</v>
      </c>
      <c r="I14" t="s">
        <v>71</v>
      </c>
    </row>
    <row r="15" spans="1:10" x14ac:dyDescent="0.3">
      <c r="A15" t="s">
        <v>97</v>
      </c>
      <c r="B15" s="7">
        <v>46042</v>
      </c>
      <c r="C15" t="s">
        <v>98</v>
      </c>
      <c r="D15" s="4">
        <v>100</v>
      </c>
      <c r="E15" t="s">
        <v>98</v>
      </c>
      <c r="F15" t="s">
        <v>66</v>
      </c>
      <c r="G15" t="s">
        <v>70</v>
      </c>
      <c r="H15" t="s">
        <v>38</v>
      </c>
      <c r="I15" t="s">
        <v>71</v>
      </c>
    </row>
    <row r="16" spans="1:10" x14ac:dyDescent="0.3">
      <c r="A16" t="s">
        <v>99</v>
      </c>
      <c r="B16" s="7">
        <v>46047</v>
      </c>
      <c r="C16" t="s">
        <v>100</v>
      </c>
      <c r="D16" s="4">
        <v>100</v>
      </c>
      <c r="E16" t="s">
        <v>101</v>
      </c>
      <c r="F16" t="s">
        <v>92</v>
      </c>
      <c r="G16" t="s">
        <v>60</v>
      </c>
      <c r="H16" t="s">
        <v>38</v>
      </c>
      <c r="I16" t="s">
        <v>102</v>
      </c>
    </row>
    <row r="17" spans="1:9" x14ac:dyDescent="0.3">
      <c r="A17" t="s">
        <v>103</v>
      </c>
      <c r="B17" s="7">
        <v>46050</v>
      </c>
      <c r="C17" t="s">
        <v>104</v>
      </c>
      <c r="D17" s="4">
        <v>110</v>
      </c>
      <c r="E17" t="s">
        <v>105</v>
      </c>
      <c r="F17" t="s">
        <v>66</v>
      </c>
      <c r="G17" t="s">
        <v>70</v>
      </c>
      <c r="H17" t="s">
        <v>38</v>
      </c>
      <c r="I17" t="s">
        <v>93</v>
      </c>
    </row>
    <row r="18" spans="1:9" x14ac:dyDescent="0.3">
      <c r="A18" t="s">
        <v>106</v>
      </c>
      <c r="B18" s="7">
        <v>46054</v>
      </c>
      <c r="C18" t="s">
        <v>57</v>
      </c>
      <c r="D18" s="4">
        <v>3000</v>
      </c>
      <c r="E18" t="s">
        <v>58</v>
      </c>
      <c r="F18" t="s">
        <v>59</v>
      </c>
      <c r="G18" t="s">
        <v>60</v>
      </c>
      <c r="H18" t="s">
        <v>38</v>
      </c>
      <c r="I18" t="s">
        <v>61</v>
      </c>
    </row>
    <row r="19" spans="1:9" x14ac:dyDescent="0.3">
      <c r="A19" t="s">
        <v>107</v>
      </c>
      <c r="B19" s="7">
        <v>46056</v>
      </c>
      <c r="C19" t="s">
        <v>64</v>
      </c>
      <c r="D19" s="4">
        <v>520</v>
      </c>
      <c r="E19" t="s">
        <v>65</v>
      </c>
      <c r="F19" t="s">
        <v>66</v>
      </c>
      <c r="G19" t="s">
        <v>60</v>
      </c>
      <c r="H19" t="s">
        <v>38</v>
      </c>
      <c r="I19" t="s">
        <v>67</v>
      </c>
    </row>
    <row r="20" spans="1:9" x14ac:dyDescent="0.3">
      <c r="A20" t="s">
        <v>108</v>
      </c>
      <c r="B20" s="7">
        <v>46058</v>
      </c>
      <c r="C20" t="s">
        <v>109</v>
      </c>
      <c r="D20" s="4">
        <v>350</v>
      </c>
      <c r="E20" t="s">
        <v>65</v>
      </c>
      <c r="F20" t="s">
        <v>66</v>
      </c>
      <c r="G20" t="s">
        <v>70</v>
      </c>
      <c r="H20" t="s">
        <v>38</v>
      </c>
      <c r="I20" t="s">
        <v>71</v>
      </c>
    </row>
    <row r="21" spans="1:9" x14ac:dyDescent="0.3">
      <c r="A21" t="s">
        <v>110</v>
      </c>
      <c r="B21" s="7">
        <v>46059</v>
      </c>
      <c r="C21" t="s">
        <v>111</v>
      </c>
      <c r="D21" s="4">
        <v>260</v>
      </c>
      <c r="E21" t="s">
        <v>74</v>
      </c>
      <c r="F21" t="s">
        <v>66</v>
      </c>
      <c r="G21" t="s">
        <v>60</v>
      </c>
      <c r="H21" t="s">
        <v>38</v>
      </c>
      <c r="I21" t="s">
        <v>71</v>
      </c>
    </row>
    <row r="22" spans="1:9" x14ac:dyDescent="0.3">
      <c r="A22" t="s">
        <v>112</v>
      </c>
      <c r="B22" s="7">
        <v>46061</v>
      </c>
      <c r="C22" t="s">
        <v>76</v>
      </c>
      <c r="D22" s="4">
        <v>60</v>
      </c>
      <c r="E22" t="s">
        <v>77</v>
      </c>
      <c r="F22" t="s">
        <v>59</v>
      </c>
      <c r="G22" t="s">
        <v>60</v>
      </c>
      <c r="H22" t="s">
        <v>38</v>
      </c>
      <c r="I22" t="s">
        <v>71</v>
      </c>
    </row>
    <row r="23" spans="1:9" x14ac:dyDescent="0.3">
      <c r="A23" t="s">
        <v>113</v>
      </c>
      <c r="B23" s="7">
        <v>46063</v>
      </c>
      <c r="C23" t="s">
        <v>114</v>
      </c>
      <c r="D23" s="4">
        <v>45</v>
      </c>
      <c r="E23" t="s">
        <v>80</v>
      </c>
      <c r="F23" t="s">
        <v>59</v>
      </c>
      <c r="G23" t="s">
        <v>70</v>
      </c>
      <c r="H23" t="s">
        <v>38</v>
      </c>
      <c r="I23" t="s">
        <v>71</v>
      </c>
    </row>
    <row r="24" spans="1:9" x14ac:dyDescent="0.3">
      <c r="A24" t="s">
        <v>115</v>
      </c>
      <c r="B24" s="7">
        <v>46064</v>
      </c>
      <c r="C24" t="s">
        <v>116</v>
      </c>
      <c r="D24" s="4">
        <v>300</v>
      </c>
      <c r="E24" t="s">
        <v>82</v>
      </c>
      <c r="F24" t="s">
        <v>66</v>
      </c>
      <c r="G24" t="s">
        <v>70</v>
      </c>
      <c r="H24" t="s">
        <v>38</v>
      </c>
      <c r="I24" t="s">
        <v>71</v>
      </c>
    </row>
    <row r="25" spans="1:9" x14ac:dyDescent="0.3">
      <c r="A25" t="s">
        <v>117</v>
      </c>
      <c r="B25" s="7">
        <v>46066</v>
      </c>
      <c r="C25" t="s">
        <v>84</v>
      </c>
      <c r="D25" s="4">
        <v>100</v>
      </c>
      <c r="E25" t="s">
        <v>85</v>
      </c>
      <c r="F25" t="s">
        <v>66</v>
      </c>
      <c r="G25" t="s">
        <v>60</v>
      </c>
      <c r="H25" t="s">
        <v>38</v>
      </c>
      <c r="I25" t="s">
        <v>61</v>
      </c>
    </row>
    <row r="26" spans="1:9" x14ac:dyDescent="0.3">
      <c r="A26" t="s">
        <v>118</v>
      </c>
      <c r="B26" s="7">
        <v>46068</v>
      </c>
      <c r="C26" t="s">
        <v>87</v>
      </c>
      <c r="D26" s="4">
        <v>70</v>
      </c>
      <c r="E26" t="s">
        <v>88</v>
      </c>
      <c r="F26" t="s">
        <v>59</v>
      </c>
      <c r="G26" t="s">
        <v>70</v>
      </c>
      <c r="H26" t="s">
        <v>38</v>
      </c>
      <c r="I26" t="s">
        <v>71</v>
      </c>
    </row>
    <row r="27" spans="1:9" x14ac:dyDescent="0.3">
      <c r="A27" t="s">
        <v>119</v>
      </c>
      <c r="B27" s="7">
        <v>46070</v>
      </c>
      <c r="C27" t="s">
        <v>120</v>
      </c>
      <c r="D27" s="4">
        <v>140</v>
      </c>
      <c r="E27" t="s">
        <v>91</v>
      </c>
      <c r="F27" t="s">
        <v>92</v>
      </c>
      <c r="G27" t="s">
        <v>70</v>
      </c>
      <c r="H27" t="s">
        <v>38</v>
      </c>
      <c r="I27" t="s">
        <v>93</v>
      </c>
    </row>
    <row r="28" spans="1:9" x14ac:dyDescent="0.3">
      <c r="A28" t="s">
        <v>121</v>
      </c>
      <c r="B28" s="7">
        <v>46072</v>
      </c>
      <c r="C28" t="s">
        <v>95</v>
      </c>
      <c r="D28" s="4">
        <v>100</v>
      </c>
      <c r="E28" t="s">
        <v>96</v>
      </c>
      <c r="F28" t="s">
        <v>66</v>
      </c>
      <c r="G28" t="s">
        <v>70</v>
      </c>
      <c r="H28" t="s">
        <v>38</v>
      </c>
      <c r="I28" t="s">
        <v>71</v>
      </c>
    </row>
    <row r="29" spans="1:9" x14ac:dyDescent="0.3">
      <c r="A29" t="s">
        <v>122</v>
      </c>
      <c r="B29" s="7">
        <v>46074</v>
      </c>
      <c r="C29" t="s">
        <v>123</v>
      </c>
      <c r="D29" s="4">
        <v>120</v>
      </c>
      <c r="E29" t="s">
        <v>98</v>
      </c>
      <c r="F29" t="s">
        <v>66</v>
      </c>
      <c r="G29" t="s">
        <v>70</v>
      </c>
      <c r="H29" t="s">
        <v>38</v>
      </c>
      <c r="I29" t="s">
        <v>71</v>
      </c>
    </row>
    <row r="30" spans="1:9" x14ac:dyDescent="0.3">
      <c r="A30" t="s">
        <v>124</v>
      </c>
      <c r="B30" s="7">
        <v>46076</v>
      </c>
      <c r="C30" t="s">
        <v>100</v>
      </c>
      <c r="D30" s="4">
        <v>150</v>
      </c>
      <c r="E30" t="s">
        <v>101</v>
      </c>
      <c r="F30" t="s">
        <v>92</v>
      </c>
      <c r="G30" t="s">
        <v>60</v>
      </c>
      <c r="H30" t="s">
        <v>38</v>
      </c>
      <c r="I30" t="s">
        <v>102</v>
      </c>
    </row>
    <row r="31" spans="1:9" x14ac:dyDescent="0.3">
      <c r="A31" t="s">
        <v>125</v>
      </c>
      <c r="B31" s="7">
        <v>46079</v>
      </c>
      <c r="C31" t="s">
        <v>104</v>
      </c>
      <c r="D31" s="4">
        <v>85</v>
      </c>
      <c r="E31" t="s">
        <v>105</v>
      </c>
      <c r="F31" t="s">
        <v>66</v>
      </c>
      <c r="G31" t="s">
        <v>70</v>
      </c>
      <c r="H31" t="s">
        <v>38</v>
      </c>
      <c r="I31" t="s">
        <v>93</v>
      </c>
    </row>
  </sheetData>
  <phoneticPr fontId="4" type="noConversion"/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200-000000000000}">
          <x14:formula1>
            <xm:f>Lists!$A$5:$A$17</xm:f>
          </x14:formula1>
          <xm:sqref>E4:E500</xm:sqref>
        </x14:dataValidation>
        <x14:dataValidation type="list" allowBlank="1" xr:uid="{00000000-0002-0000-0200-000001000000}">
          <x14:formula1>
            <xm:f>Lists!$B$5:$B$7</xm:f>
          </x14:formula1>
          <xm:sqref>F4:F500</xm:sqref>
        </x14:dataValidation>
        <x14:dataValidation type="list" allowBlank="1" xr:uid="{00000000-0002-0000-0200-000002000000}">
          <x14:formula1>
            <xm:f>Lists!$C$5:$C$6</xm:f>
          </x14:formula1>
          <xm:sqref>G4:G500</xm:sqref>
        </x14:dataValidation>
        <x14:dataValidation type="list" allowBlank="1" xr:uid="{00000000-0002-0000-0200-000003000000}">
          <x14:formula1>
            <xm:f>Lists!$D$5:$D$9</xm:f>
          </x14:formula1>
          <xm:sqref>H4:H500</xm:sqref>
        </x14:dataValidation>
        <x14:dataValidation type="list" allowBlank="1" xr:uid="{00000000-0002-0000-0200-000004000000}">
          <x14:formula1>
            <xm:f>Lists!$E$5:$E$10</xm:f>
          </x14:formula1>
          <xm:sqref>I4:I500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ySplit="3" topLeftCell="A4" activePane="bottomLeft" state="frozen"/>
      <selection pane="bottomLeft" activeCell="H16" sqref="H16"/>
    </sheetView>
  </sheetViews>
  <sheetFormatPr defaultRowHeight="13.5" x14ac:dyDescent="0.3"/>
  <cols>
    <col min="1" max="2" width="18" customWidth="1"/>
    <col min="3" max="3" width="26" customWidth="1"/>
    <col min="4" max="6" width="18" customWidth="1"/>
  </cols>
  <sheetData>
    <row r="1" spans="1:6" ht="17.649999999999999" x14ac:dyDescent="0.4">
      <c r="A1" s="1" t="s">
        <v>126</v>
      </c>
    </row>
    <row r="2" spans="1:6" x14ac:dyDescent="0.3">
      <c r="A2" s="2" t="s">
        <v>127</v>
      </c>
    </row>
    <row r="3" spans="1:6" x14ac:dyDescent="0.3">
      <c r="A3" s="3" t="s">
        <v>46</v>
      </c>
      <c r="B3" s="3" t="s">
        <v>47</v>
      </c>
      <c r="C3" s="3" t="s">
        <v>128</v>
      </c>
      <c r="D3" s="3" t="s">
        <v>129</v>
      </c>
      <c r="E3" s="3" t="s">
        <v>130</v>
      </c>
      <c r="F3" s="3" t="s">
        <v>55</v>
      </c>
    </row>
    <row r="4" spans="1:6" x14ac:dyDescent="0.3">
      <c r="A4" t="s">
        <v>131</v>
      </c>
      <c r="B4" s="7">
        <v>46030</v>
      </c>
      <c r="C4" t="s">
        <v>132</v>
      </c>
      <c r="D4" s="4">
        <v>6000</v>
      </c>
      <c r="E4" t="s">
        <v>132</v>
      </c>
      <c r="F4" t="s">
        <v>133</v>
      </c>
    </row>
    <row r="5" spans="1:6" x14ac:dyDescent="0.3">
      <c r="A5" t="s">
        <v>134</v>
      </c>
      <c r="B5" s="7">
        <v>46061</v>
      </c>
      <c r="C5" t="s">
        <v>132</v>
      </c>
      <c r="D5" s="4">
        <v>6700</v>
      </c>
      <c r="E5" t="s">
        <v>132</v>
      </c>
      <c r="F5" t="s">
        <v>133</v>
      </c>
    </row>
    <row r="6" spans="1:6" x14ac:dyDescent="0.3">
      <c r="A6" t="s">
        <v>135</v>
      </c>
      <c r="B6" s="7">
        <v>46073</v>
      </c>
      <c r="C6" t="s">
        <v>136</v>
      </c>
      <c r="D6" s="4">
        <v>200</v>
      </c>
      <c r="E6" t="s">
        <v>136</v>
      </c>
      <c r="F6" t="s">
        <v>137</v>
      </c>
    </row>
  </sheetData>
  <phoneticPr fontId="4" type="noConversion"/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Lists!$F$5:$F$11</xm:f>
          </x14:formula1>
          <xm:sqref>E4:E500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>
      <selection activeCell="C41" sqref="C41"/>
    </sheetView>
  </sheetViews>
  <sheetFormatPr defaultRowHeight="13.5" x14ac:dyDescent="0.3"/>
  <cols>
    <col min="1" max="1" width="30" customWidth="1"/>
    <col min="2" max="2" width="18" customWidth="1"/>
    <col min="3" max="3" width="70" customWidth="1"/>
    <col min="4" max="13" width="18" customWidth="1"/>
  </cols>
  <sheetData>
    <row r="1" spans="1:13" ht="17.649999999999999" x14ac:dyDescent="0.4">
      <c r="A1" s="1" t="s">
        <v>138</v>
      </c>
    </row>
    <row r="2" spans="1:13" x14ac:dyDescent="0.3">
      <c r="A2" s="2" t="s">
        <v>139</v>
      </c>
    </row>
    <row r="4" spans="1:13" x14ac:dyDescent="0.3">
      <c r="A4" s="3" t="s">
        <v>140</v>
      </c>
      <c r="B4" s="3" t="s">
        <v>141</v>
      </c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t="s">
        <v>142</v>
      </c>
      <c r="B5" s="8">
        <v>30000</v>
      </c>
      <c r="C5" t="s">
        <v>143</v>
      </c>
    </row>
    <row r="6" spans="1:13" x14ac:dyDescent="0.3">
      <c r="A6" t="s">
        <v>144</v>
      </c>
      <c r="B6" s="8">
        <v>1000</v>
      </c>
      <c r="C6" t="s">
        <v>145</v>
      </c>
    </row>
    <row r="7" spans="1:13" x14ac:dyDescent="0.3">
      <c r="A7" t="s">
        <v>146</v>
      </c>
      <c r="B7" s="9" t="s">
        <v>147</v>
      </c>
      <c r="C7" t="s">
        <v>148</v>
      </c>
    </row>
    <row r="8" spans="1:13" x14ac:dyDescent="0.3">
      <c r="A8" t="s">
        <v>149</v>
      </c>
      <c r="B8" s="9">
        <v>12</v>
      </c>
      <c r="C8" t="s">
        <v>150</v>
      </c>
    </row>
    <row r="9" spans="1:13" x14ac:dyDescent="0.3">
      <c r="A9" t="s">
        <v>151</v>
      </c>
      <c r="B9" s="8">
        <v>15000</v>
      </c>
      <c r="C9" t="s">
        <v>152</v>
      </c>
    </row>
    <row r="12" spans="1:13" x14ac:dyDescent="0.3">
      <c r="A12" t="s">
        <v>153</v>
      </c>
    </row>
    <row r="13" spans="1:13" x14ac:dyDescent="0.3">
      <c r="A13" s="3"/>
      <c r="B13" s="3" t="s">
        <v>154</v>
      </c>
      <c r="C13" s="3" t="s">
        <v>155</v>
      </c>
      <c r="D13" s="3" t="s">
        <v>156</v>
      </c>
      <c r="E13" s="3" t="s">
        <v>157</v>
      </c>
      <c r="F13" s="3" t="s">
        <v>158</v>
      </c>
      <c r="G13" s="3" t="s">
        <v>159</v>
      </c>
      <c r="H13" s="3" t="s">
        <v>160</v>
      </c>
      <c r="I13" s="3" t="s">
        <v>161</v>
      </c>
      <c r="J13" s="3" t="s">
        <v>162</v>
      </c>
      <c r="K13" s="3" t="s">
        <v>163</v>
      </c>
      <c r="L13" s="3" t="s">
        <v>164</v>
      </c>
      <c r="M13" s="3" t="s">
        <v>165</v>
      </c>
    </row>
    <row r="14" spans="1:13" x14ac:dyDescent="0.3">
      <c r="A14" s="8" t="s">
        <v>166</v>
      </c>
      <c r="B14" s="8">
        <v>3000</v>
      </c>
      <c r="C14" s="8">
        <v>3000</v>
      </c>
      <c r="D14" s="8">
        <v>3000</v>
      </c>
      <c r="E14" s="8">
        <v>3000</v>
      </c>
      <c r="F14" s="8">
        <v>3000</v>
      </c>
      <c r="G14" s="8">
        <v>3000</v>
      </c>
      <c r="H14" s="8">
        <v>3000</v>
      </c>
      <c r="I14" s="8">
        <v>3000</v>
      </c>
      <c r="J14" s="8">
        <v>3000</v>
      </c>
      <c r="K14" s="8">
        <v>3000</v>
      </c>
      <c r="L14" s="8">
        <v>3000</v>
      </c>
      <c r="M14" s="8">
        <v>3000</v>
      </c>
    </row>
  </sheetData>
  <phoneticPr fontId="4" type="noConversion"/>
  <dataValidations count="1">
    <dataValidation type="list" sqref="B7" xr:uid="{00000000-0002-0000-0400-000000000000}">
      <formula1>"Conservative,Balanced,Growth"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workbookViewId="0">
      <selection activeCell="B11" sqref="B11"/>
    </sheetView>
  </sheetViews>
  <sheetFormatPr defaultRowHeight="13.5" x14ac:dyDescent="0.3"/>
  <cols>
    <col min="1" max="1" width="53.1328125" bestFit="1" customWidth="1"/>
    <col min="2" max="2" width="18" customWidth="1"/>
    <col min="3" max="3" width="70" customWidth="1"/>
  </cols>
  <sheetData>
    <row r="1" spans="1:3" ht="17.649999999999999" x14ac:dyDescent="0.4">
      <c r="A1" s="1" t="s">
        <v>167</v>
      </c>
    </row>
    <row r="2" spans="1:3" x14ac:dyDescent="0.3">
      <c r="A2" s="2" t="s">
        <v>168</v>
      </c>
    </row>
    <row r="4" spans="1:3" x14ac:dyDescent="0.3">
      <c r="A4" s="3" t="s">
        <v>140</v>
      </c>
      <c r="B4" s="3" t="s">
        <v>141</v>
      </c>
      <c r="C4" s="3" t="s">
        <v>3</v>
      </c>
    </row>
    <row r="5" spans="1:3" x14ac:dyDescent="0.3">
      <c r="A5" t="s">
        <v>169</v>
      </c>
      <c r="B5" s="9" t="s">
        <v>170</v>
      </c>
      <c r="C5" t="s">
        <v>171</v>
      </c>
    </row>
    <row r="6" spans="1:3" x14ac:dyDescent="0.3">
      <c r="A6" t="s">
        <v>172</v>
      </c>
      <c r="B6" s="9" t="s">
        <v>170</v>
      </c>
      <c r="C6" t="s">
        <v>173</v>
      </c>
    </row>
    <row r="7" spans="1:3" x14ac:dyDescent="0.3">
      <c r="A7" t="s">
        <v>174</v>
      </c>
      <c r="B7" s="9" t="s">
        <v>175</v>
      </c>
      <c r="C7" t="s">
        <v>176</v>
      </c>
    </row>
    <row r="8" spans="1:3" x14ac:dyDescent="0.3">
      <c r="A8" t="s">
        <v>177</v>
      </c>
      <c r="B8" s="10">
        <v>0.05</v>
      </c>
      <c r="C8" t="s">
        <v>178</v>
      </c>
    </row>
    <row r="9" spans="1:3" x14ac:dyDescent="0.3">
      <c r="A9" t="s">
        <v>179</v>
      </c>
      <c r="B9" s="10">
        <v>9.9750000000000005E-2</v>
      </c>
      <c r="C9" t="s">
        <v>180</v>
      </c>
    </row>
    <row r="10" spans="1:3" x14ac:dyDescent="0.3">
      <c r="A10" t="s">
        <v>181</v>
      </c>
      <c r="B10" s="10">
        <f>B8+B9</f>
        <v>0.14974999999999999</v>
      </c>
      <c r="C10" t="s">
        <v>182</v>
      </c>
    </row>
    <row r="13" spans="1:3" x14ac:dyDescent="0.3">
      <c r="A13" t="s">
        <v>183</v>
      </c>
    </row>
    <row r="14" spans="1:3" x14ac:dyDescent="0.3">
      <c r="A14" s="3" t="s">
        <v>50</v>
      </c>
      <c r="B14" s="3" t="s">
        <v>184</v>
      </c>
      <c r="C14" s="3" t="s">
        <v>55</v>
      </c>
    </row>
    <row r="15" spans="1:3" x14ac:dyDescent="0.3">
      <c r="A15" t="s">
        <v>58</v>
      </c>
      <c r="B15" t="s">
        <v>61</v>
      </c>
      <c r="C15" t="s">
        <v>185</v>
      </c>
    </row>
    <row r="16" spans="1:3" x14ac:dyDescent="0.3">
      <c r="A16" t="s">
        <v>65</v>
      </c>
      <c r="B16" t="s">
        <v>71</v>
      </c>
      <c r="C16" t="s">
        <v>186</v>
      </c>
    </row>
    <row r="17" spans="1:3" x14ac:dyDescent="0.3">
      <c r="A17" t="s">
        <v>74</v>
      </c>
      <c r="B17" t="s">
        <v>71</v>
      </c>
      <c r="C17" t="s">
        <v>187</v>
      </c>
    </row>
    <row r="18" spans="1:3" x14ac:dyDescent="0.3">
      <c r="A18" t="s">
        <v>77</v>
      </c>
      <c r="B18" t="s">
        <v>71</v>
      </c>
      <c r="C18" t="s">
        <v>188</v>
      </c>
    </row>
    <row r="19" spans="1:3" x14ac:dyDescent="0.3">
      <c r="A19" t="s">
        <v>80</v>
      </c>
      <c r="B19" t="s">
        <v>71</v>
      </c>
      <c r="C19" t="s">
        <v>189</v>
      </c>
    </row>
    <row r="20" spans="1:3" x14ac:dyDescent="0.3">
      <c r="A20" t="s">
        <v>82</v>
      </c>
      <c r="B20" t="s">
        <v>71</v>
      </c>
      <c r="C20" t="s">
        <v>190</v>
      </c>
    </row>
    <row r="21" spans="1:3" x14ac:dyDescent="0.3">
      <c r="A21" t="s">
        <v>85</v>
      </c>
      <c r="B21" t="s">
        <v>61</v>
      </c>
      <c r="C21" t="s">
        <v>191</v>
      </c>
    </row>
    <row r="22" spans="1:3" x14ac:dyDescent="0.3">
      <c r="A22" t="s">
        <v>88</v>
      </c>
      <c r="B22" t="s">
        <v>71</v>
      </c>
      <c r="C22" t="s">
        <v>192</v>
      </c>
    </row>
    <row r="23" spans="1:3" x14ac:dyDescent="0.3">
      <c r="A23" t="s">
        <v>91</v>
      </c>
      <c r="B23" t="s">
        <v>93</v>
      </c>
      <c r="C23" t="s">
        <v>193</v>
      </c>
    </row>
    <row r="24" spans="1:3" x14ac:dyDescent="0.3">
      <c r="A24" t="s">
        <v>96</v>
      </c>
      <c r="B24" t="s">
        <v>71</v>
      </c>
      <c r="C24" t="s">
        <v>194</v>
      </c>
    </row>
    <row r="25" spans="1:3" x14ac:dyDescent="0.3">
      <c r="A25" t="s">
        <v>98</v>
      </c>
      <c r="B25" t="s">
        <v>71</v>
      </c>
      <c r="C25" t="s">
        <v>195</v>
      </c>
    </row>
    <row r="26" spans="1:3" x14ac:dyDescent="0.3">
      <c r="A26" t="s">
        <v>101</v>
      </c>
      <c r="B26" t="s">
        <v>102</v>
      </c>
      <c r="C26" t="s">
        <v>196</v>
      </c>
    </row>
    <row r="27" spans="1:3" x14ac:dyDescent="0.3">
      <c r="A27" t="s">
        <v>105</v>
      </c>
      <c r="B27" t="s">
        <v>93</v>
      </c>
      <c r="C27" t="s">
        <v>197</v>
      </c>
    </row>
    <row r="30" spans="1:3" x14ac:dyDescent="0.3">
      <c r="A30" t="s">
        <v>198</v>
      </c>
    </row>
    <row r="31" spans="1:3" x14ac:dyDescent="0.3">
      <c r="A31" s="3" t="s">
        <v>199</v>
      </c>
      <c r="B31" s="3" t="s">
        <v>200</v>
      </c>
      <c r="C31" s="3"/>
    </row>
    <row r="32" spans="1:3" x14ac:dyDescent="0.3">
      <c r="A32" t="s">
        <v>201</v>
      </c>
      <c r="B32" t="s">
        <v>202</v>
      </c>
    </row>
    <row r="33" spans="1:2" x14ac:dyDescent="0.3">
      <c r="A33" t="s">
        <v>203</v>
      </c>
      <c r="B33" t="s">
        <v>204</v>
      </c>
    </row>
    <row r="34" spans="1:2" x14ac:dyDescent="0.3">
      <c r="A34" t="s">
        <v>205</v>
      </c>
      <c r="B34" t="s">
        <v>206</v>
      </c>
    </row>
    <row r="35" spans="1:2" x14ac:dyDescent="0.3">
      <c r="A35" t="s">
        <v>207</v>
      </c>
      <c r="B35" t="s">
        <v>208</v>
      </c>
    </row>
  </sheetData>
  <phoneticPr fontId="4" type="noConversion"/>
  <dataValidations count="1">
    <dataValidation type="list" allowBlank="1" showInputMessage="1" showErrorMessage="1" sqref="B5:B6" xr:uid="{36B2F92E-BB42-489A-B8EC-E0A8D81E358A}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3.5" x14ac:dyDescent="0.3"/>
  <cols>
    <col min="1" max="15" width="18" customWidth="1"/>
  </cols>
  <sheetData>
    <row r="1" spans="1:15" ht="17.649999999999999" x14ac:dyDescent="0.4">
      <c r="A1" s="1" t="s">
        <v>209</v>
      </c>
    </row>
    <row r="2" spans="1:15" x14ac:dyDescent="0.3">
      <c r="A2" s="2" t="s">
        <v>210</v>
      </c>
    </row>
    <row r="3" spans="1:15" ht="27" x14ac:dyDescent="0.3">
      <c r="A3" s="3" t="s">
        <v>36</v>
      </c>
      <c r="B3" s="3" t="s">
        <v>126</v>
      </c>
      <c r="C3" s="3" t="s">
        <v>38</v>
      </c>
      <c r="D3" s="3" t="s">
        <v>211</v>
      </c>
      <c r="E3" s="3" t="s">
        <v>212</v>
      </c>
      <c r="F3" s="3" t="s">
        <v>213</v>
      </c>
      <c r="G3" s="3" t="s">
        <v>214</v>
      </c>
      <c r="H3" s="3" t="s">
        <v>215</v>
      </c>
      <c r="I3" s="3" t="s">
        <v>216</v>
      </c>
      <c r="J3" s="3" t="s">
        <v>40</v>
      </c>
      <c r="K3" s="3" t="s">
        <v>217</v>
      </c>
      <c r="L3" s="3" t="s">
        <v>218</v>
      </c>
      <c r="M3" s="3" t="s">
        <v>219</v>
      </c>
      <c r="N3" s="3" t="s">
        <v>220</v>
      </c>
      <c r="O3" s="3" t="s">
        <v>39</v>
      </c>
    </row>
    <row r="4" spans="1:15" x14ac:dyDescent="0.3">
      <c r="A4" t="str">
        <f>Formula_Hub!A28</f>
        <v>2026-01</v>
      </c>
      <c r="B4" s="4">
        <f>Formula_Hub!B28</f>
        <v>6000</v>
      </c>
      <c r="C4" s="4">
        <f>Formula_Hub!C28</f>
        <v>5000</v>
      </c>
      <c r="D4" s="4">
        <f>Formula_Hub!D28</f>
        <v>3910</v>
      </c>
      <c r="E4" s="4">
        <f>Formula_Hub!E28</f>
        <v>1090</v>
      </c>
      <c r="F4" s="4">
        <f>Formula_Hub!F28</f>
        <v>3160</v>
      </c>
      <c r="G4" s="4">
        <f>Formula_Hub!G28</f>
        <v>1620</v>
      </c>
      <c r="H4" s="4">
        <f>Formula_Hub!H28</f>
        <v>220</v>
      </c>
      <c r="I4" s="4">
        <f>Formula_Hub!I28</f>
        <v>3000</v>
      </c>
      <c r="J4" s="4">
        <f>Formula_Hub!J28</f>
        <v>1000</v>
      </c>
      <c r="K4" s="4">
        <f>Formula_Hub!K28</f>
        <v>1</v>
      </c>
      <c r="L4" s="4">
        <f>Formula_Hub!L28</f>
        <v>0</v>
      </c>
      <c r="M4" s="4">
        <f>Formula_Hub!M28</f>
        <v>0</v>
      </c>
      <c r="N4" s="4">
        <f>Formula_Hub!N28</f>
        <v>0</v>
      </c>
      <c r="O4" s="4">
        <f>Formula_Hub!O28</f>
        <v>148.48010437051533</v>
      </c>
    </row>
    <row r="5" spans="1:15" x14ac:dyDescent="0.3">
      <c r="A5" t="str">
        <f>Formula_Hub!A29</f>
        <v>2026-02</v>
      </c>
      <c r="B5" s="4">
        <f>Formula_Hub!B29</f>
        <v>6900</v>
      </c>
      <c r="C5" s="4">
        <f>Formula_Hub!C29</f>
        <v>5300</v>
      </c>
      <c r="D5" s="4">
        <f>Formula_Hub!D29</f>
        <v>4090</v>
      </c>
      <c r="E5" s="4">
        <f>Formula_Hub!E29</f>
        <v>1210</v>
      </c>
      <c r="F5" s="4">
        <f>Formula_Hub!F29</f>
        <v>3175</v>
      </c>
      <c r="G5" s="4">
        <f>Formula_Hub!G29</f>
        <v>1835</v>
      </c>
      <c r="H5" s="4">
        <f>Formula_Hub!H29</f>
        <v>290</v>
      </c>
      <c r="I5" s="4">
        <f>Formula_Hub!I29</f>
        <v>3000</v>
      </c>
      <c r="J5" s="4">
        <f>Formula_Hub!J29</f>
        <v>1600</v>
      </c>
      <c r="K5" s="4">
        <f>Formula_Hub!K29</f>
        <v>1</v>
      </c>
      <c r="L5" s="4">
        <f>Formula_Hub!L29</f>
        <v>0</v>
      </c>
      <c r="M5" s="4">
        <f>Formula_Hub!M29</f>
        <v>0</v>
      </c>
      <c r="N5" s="4">
        <f>Formula_Hub!N29</f>
        <v>0</v>
      </c>
      <c r="O5" s="4">
        <f>Formula_Hub!O29</f>
        <v>169.9706457925636</v>
      </c>
    </row>
    <row r="6" spans="1:15" x14ac:dyDescent="0.3">
      <c r="A6" t="str">
        <f>Formula_Hub!A30</f>
        <v>2026-03</v>
      </c>
      <c r="B6" s="4">
        <f>Formula_Hub!B30</f>
        <v>0</v>
      </c>
      <c r="C6" s="4">
        <f>Formula_Hub!C30</f>
        <v>0</v>
      </c>
      <c r="D6" s="4">
        <f>Formula_Hub!D30</f>
        <v>0</v>
      </c>
      <c r="E6" s="4">
        <f>Formula_Hub!E30</f>
        <v>0</v>
      </c>
      <c r="F6" s="4">
        <f>Formula_Hub!F30</f>
        <v>0</v>
      </c>
      <c r="G6" s="4">
        <f>Formula_Hub!G30</f>
        <v>0</v>
      </c>
      <c r="H6" s="4">
        <f>Formula_Hub!H30</f>
        <v>0</v>
      </c>
      <c r="I6" s="4">
        <f>Formula_Hub!I30</f>
        <v>0</v>
      </c>
      <c r="J6" s="4">
        <f>Formula_Hub!J30</f>
        <v>0</v>
      </c>
      <c r="K6" s="4">
        <f>Formula_Hub!K30</f>
        <v>0</v>
      </c>
      <c r="L6" s="4">
        <f>Formula_Hub!L30</f>
        <v>0</v>
      </c>
      <c r="M6" s="4">
        <f>Formula_Hub!M30</f>
        <v>0</v>
      </c>
      <c r="N6" s="4">
        <f>Formula_Hub!N30</f>
        <v>0</v>
      </c>
      <c r="O6" s="4">
        <f>Formula_Hub!O30</f>
        <v>0</v>
      </c>
    </row>
    <row r="7" spans="1:15" x14ac:dyDescent="0.3">
      <c r="A7" t="str">
        <f>Formula_Hub!A31</f>
        <v>2026-04</v>
      </c>
      <c r="B7" s="4">
        <f>Formula_Hub!B31</f>
        <v>0</v>
      </c>
      <c r="C7" s="4">
        <f>Formula_Hub!C31</f>
        <v>0</v>
      </c>
      <c r="D7" s="4">
        <f>Formula_Hub!D31</f>
        <v>0</v>
      </c>
      <c r="E7" s="4">
        <f>Formula_Hub!E31</f>
        <v>0</v>
      </c>
      <c r="F7" s="4">
        <f>Formula_Hub!F31</f>
        <v>0</v>
      </c>
      <c r="G7" s="4">
        <f>Formula_Hub!G31</f>
        <v>0</v>
      </c>
      <c r="H7" s="4">
        <f>Formula_Hub!H31</f>
        <v>0</v>
      </c>
      <c r="I7" s="4">
        <f>Formula_Hub!I31</f>
        <v>0</v>
      </c>
      <c r="J7" s="4">
        <f>Formula_Hub!J31</f>
        <v>0</v>
      </c>
      <c r="K7" s="4">
        <f>Formula_Hub!K31</f>
        <v>0</v>
      </c>
      <c r="L7" s="4">
        <f>Formula_Hub!L31</f>
        <v>0</v>
      </c>
      <c r="M7" s="4">
        <f>Formula_Hub!M31</f>
        <v>0</v>
      </c>
      <c r="N7" s="4">
        <f>Formula_Hub!N31</f>
        <v>0</v>
      </c>
      <c r="O7" s="4">
        <f>Formula_Hub!O31</f>
        <v>0</v>
      </c>
    </row>
    <row r="8" spans="1:15" x14ac:dyDescent="0.3">
      <c r="A8" t="str">
        <f>Formula_Hub!A32</f>
        <v>2026-05</v>
      </c>
      <c r="B8" s="4">
        <f>Formula_Hub!B32</f>
        <v>0</v>
      </c>
      <c r="C8" s="4">
        <f>Formula_Hub!C32</f>
        <v>0</v>
      </c>
      <c r="D8" s="4">
        <f>Formula_Hub!D32</f>
        <v>0</v>
      </c>
      <c r="E8" s="4">
        <f>Formula_Hub!E32</f>
        <v>0</v>
      </c>
      <c r="F8" s="4">
        <f>Formula_Hub!F32</f>
        <v>0</v>
      </c>
      <c r="G8" s="4">
        <f>Formula_Hub!G32</f>
        <v>0</v>
      </c>
      <c r="H8" s="4">
        <f>Formula_Hub!H32</f>
        <v>0</v>
      </c>
      <c r="I8" s="4">
        <f>Formula_Hub!I32</f>
        <v>0</v>
      </c>
      <c r="J8" s="4">
        <f>Formula_Hub!J32</f>
        <v>0</v>
      </c>
      <c r="K8" s="4">
        <f>Formula_Hub!K32</f>
        <v>0</v>
      </c>
      <c r="L8" s="4">
        <f>Formula_Hub!L32</f>
        <v>0</v>
      </c>
      <c r="M8" s="4">
        <f>Formula_Hub!M32</f>
        <v>0</v>
      </c>
      <c r="N8" s="4">
        <f>Formula_Hub!N32</f>
        <v>0</v>
      </c>
      <c r="O8" s="4">
        <f>Formula_Hub!O32</f>
        <v>0</v>
      </c>
    </row>
    <row r="9" spans="1:15" x14ac:dyDescent="0.3">
      <c r="A9" t="str">
        <f>Formula_Hub!A33</f>
        <v>2026-06</v>
      </c>
      <c r="B9" s="4">
        <f>Formula_Hub!B33</f>
        <v>0</v>
      </c>
      <c r="C9" s="4">
        <f>Formula_Hub!C33</f>
        <v>0</v>
      </c>
      <c r="D9" s="4">
        <f>Formula_Hub!D33</f>
        <v>0</v>
      </c>
      <c r="E9" s="4">
        <f>Formula_Hub!E33</f>
        <v>0</v>
      </c>
      <c r="F9" s="4">
        <f>Formula_Hub!F33</f>
        <v>0</v>
      </c>
      <c r="G9" s="4">
        <f>Formula_Hub!G33</f>
        <v>0</v>
      </c>
      <c r="H9" s="4">
        <f>Formula_Hub!H33</f>
        <v>0</v>
      </c>
      <c r="I9" s="4">
        <f>Formula_Hub!I33</f>
        <v>0</v>
      </c>
      <c r="J9" s="4">
        <f>Formula_Hub!J33</f>
        <v>0</v>
      </c>
      <c r="K9" s="4">
        <f>Formula_Hub!K33</f>
        <v>0</v>
      </c>
      <c r="L9" s="4">
        <f>Formula_Hub!L33</f>
        <v>0</v>
      </c>
      <c r="M9" s="4">
        <f>Formula_Hub!M33</f>
        <v>0</v>
      </c>
      <c r="N9" s="4">
        <f>Formula_Hub!N33</f>
        <v>0</v>
      </c>
      <c r="O9" s="4">
        <f>Formula_Hub!O33</f>
        <v>0</v>
      </c>
    </row>
    <row r="10" spans="1:15" x14ac:dyDescent="0.3">
      <c r="A10" t="str">
        <f>Formula_Hub!A34</f>
        <v>2026-07</v>
      </c>
      <c r="B10" s="4">
        <f>Formula_Hub!B34</f>
        <v>0</v>
      </c>
      <c r="C10" s="4">
        <f>Formula_Hub!C34</f>
        <v>0</v>
      </c>
      <c r="D10" s="4">
        <f>Formula_Hub!D34</f>
        <v>0</v>
      </c>
      <c r="E10" s="4">
        <f>Formula_Hub!E34</f>
        <v>0</v>
      </c>
      <c r="F10" s="4">
        <f>Formula_Hub!F34</f>
        <v>0</v>
      </c>
      <c r="G10" s="4">
        <f>Formula_Hub!G34</f>
        <v>0</v>
      </c>
      <c r="H10" s="4">
        <f>Formula_Hub!H34</f>
        <v>0</v>
      </c>
      <c r="I10" s="4">
        <f>Formula_Hub!I34</f>
        <v>0</v>
      </c>
      <c r="J10" s="4">
        <f>Formula_Hub!J34</f>
        <v>0</v>
      </c>
      <c r="K10" s="4">
        <f>Formula_Hub!K34</f>
        <v>0</v>
      </c>
      <c r="L10" s="4">
        <f>Formula_Hub!L34</f>
        <v>0</v>
      </c>
      <c r="M10" s="4">
        <f>Formula_Hub!M34</f>
        <v>0</v>
      </c>
      <c r="N10" s="4">
        <f>Formula_Hub!N34</f>
        <v>0</v>
      </c>
      <c r="O10" s="4">
        <f>Formula_Hub!O34</f>
        <v>0</v>
      </c>
    </row>
    <row r="11" spans="1:15" x14ac:dyDescent="0.3">
      <c r="A11" t="str">
        <f>Formula_Hub!A35</f>
        <v>2026-08</v>
      </c>
      <c r="B11" s="4">
        <f>Formula_Hub!B35</f>
        <v>0</v>
      </c>
      <c r="C11" s="4">
        <f>Formula_Hub!C35</f>
        <v>0</v>
      </c>
      <c r="D11" s="4">
        <f>Formula_Hub!D35</f>
        <v>0</v>
      </c>
      <c r="E11" s="4">
        <f>Formula_Hub!E35</f>
        <v>0</v>
      </c>
      <c r="F11" s="4">
        <f>Formula_Hub!F35</f>
        <v>0</v>
      </c>
      <c r="G11" s="4">
        <f>Formula_Hub!G35</f>
        <v>0</v>
      </c>
      <c r="H11" s="4">
        <f>Formula_Hub!H35</f>
        <v>0</v>
      </c>
      <c r="I11" s="4">
        <f>Formula_Hub!I35</f>
        <v>0</v>
      </c>
      <c r="J11" s="4">
        <f>Formula_Hub!J35</f>
        <v>0</v>
      </c>
      <c r="K11" s="4">
        <f>Formula_Hub!K35</f>
        <v>0</v>
      </c>
      <c r="L11" s="4">
        <f>Formula_Hub!L35</f>
        <v>0</v>
      </c>
      <c r="M11" s="4">
        <f>Formula_Hub!M35</f>
        <v>0</v>
      </c>
      <c r="N11" s="4">
        <f>Formula_Hub!N35</f>
        <v>0</v>
      </c>
      <c r="O11" s="4">
        <f>Formula_Hub!O35</f>
        <v>0</v>
      </c>
    </row>
    <row r="12" spans="1:15" x14ac:dyDescent="0.3">
      <c r="A12" t="str">
        <f>Formula_Hub!A36</f>
        <v>2026-09</v>
      </c>
      <c r="B12" s="4">
        <f>Formula_Hub!B36</f>
        <v>0</v>
      </c>
      <c r="C12" s="4">
        <f>Formula_Hub!C36</f>
        <v>0</v>
      </c>
      <c r="D12" s="4">
        <f>Formula_Hub!D36</f>
        <v>0</v>
      </c>
      <c r="E12" s="4">
        <f>Formula_Hub!E36</f>
        <v>0</v>
      </c>
      <c r="F12" s="4">
        <f>Formula_Hub!F36</f>
        <v>0</v>
      </c>
      <c r="G12" s="4">
        <f>Formula_Hub!G36</f>
        <v>0</v>
      </c>
      <c r="H12" s="4">
        <f>Formula_Hub!H36</f>
        <v>0</v>
      </c>
      <c r="I12" s="4">
        <f>Formula_Hub!I36</f>
        <v>0</v>
      </c>
      <c r="J12" s="4">
        <f>Formula_Hub!J36</f>
        <v>0</v>
      </c>
      <c r="K12" s="4">
        <f>Formula_Hub!K36</f>
        <v>0</v>
      </c>
      <c r="L12" s="4">
        <f>Formula_Hub!L36</f>
        <v>0</v>
      </c>
      <c r="M12" s="4">
        <f>Formula_Hub!M36</f>
        <v>0</v>
      </c>
      <c r="N12" s="4">
        <f>Formula_Hub!N36</f>
        <v>0</v>
      </c>
      <c r="O12" s="4">
        <f>Formula_Hub!O36</f>
        <v>0</v>
      </c>
    </row>
    <row r="13" spans="1:15" x14ac:dyDescent="0.3">
      <c r="A13" t="str">
        <f>Formula_Hub!A37</f>
        <v>2026-10</v>
      </c>
      <c r="B13" s="4">
        <f>Formula_Hub!B37</f>
        <v>0</v>
      </c>
      <c r="C13" s="4">
        <f>Formula_Hub!C37</f>
        <v>0</v>
      </c>
      <c r="D13" s="4">
        <f>Formula_Hub!D37</f>
        <v>0</v>
      </c>
      <c r="E13" s="4">
        <f>Formula_Hub!E37</f>
        <v>0</v>
      </c>
      <c r="F13" s="4">
        <f>Formula_Hub!F37</f>
        <v>0</v>
      </c>
      <c r="G13" s="4">
        <f>Formula_Hub!G37</f>
        <v>0</v>
      </c>
      <c r="H13" s="4">
        <f>Formula_Hub!H37</f>
        <v>0</v>
      </c>
      <c r="I13" s="4">
        <f>Formula_Hub!I37</f>
        <v>0</v>
      </c>
      <c r="J13" s="4">
        <f>Formula_Hub!J37</f>
        <v>0</v>
      </c>
      <c r="K13" s="4">
        <f>Formula_Hub!K37</f>
        <v>0</v>
      </c>
      <c r="L13" s="4">
        <f>Formula_Hub!L37</f>
        <v>0</v>
      </c>
      <c r="M13" s="4">
        <f>Formula_Hub!M37</f>
        <v>0</v>
      </c>
      <c r="N13" s="4">
        <f>Formula_Hub!N37</f>
        <v>0</v>
      </c>
      <c r="O13" s="4">
        <f>Formula_Hub!O37</f>
        <v>0</v>
      </c>
    </row>
    <row r="14" spans="1:15" x14ac:dyDescent="0.3">
      <c r="A14" t="str">
        <f>Formula_Hub!A38</f>
        <v>2026-11</v>
      </c>
      <c r="B14" s="4">
        <f>Formula_Hub!B38</f>
        <v>0</v>
      </c>
      <c r="C14" s="4">
        <f>Formula_Hub!C38</f>
        <v>0</v>
      </c>
      <c r="D14" s="4">
        <f>Formula_Hub!D38</f>
        <v>0</v>
      </c>
      <c r="E14" s="4">
        <f>Formula_Hub!E38</f>
        <v>0</v>
      </c>
      <c r="F14" s="4">
        <f>Formula_Hub!F38</f>
        <v>0</v>
      </c>
      <c r="G14" s="4">
        <f>Formula_Hub!G38</f>
        <v>0</v>
      </c>
      <c r="H14" s="4">
        <f>Formula_Hub!H38</f>
        <v>0</v>
      </c>
      <c r="I14" s="4">
        <f>Formula_Hub!I38</f>
        <v>0</v>
      </c>
      <c r="J14" s="4">
        <f>Formula_Hub!J38</f>
        <v>0</v>
      </c>
      <c r="K14" s="4">
        <f>Formula_Hub!K38</f>
        <v>0</v>
      </c>
      <c r="L14" s="4">
        <f>Formula_Hub!L38</f>
        <v>0</v>
      </c>
      <c r="M14" s="4">
        <f>Formula_Hub!M38</f>
        <v>0</v>
      </c>
      <c r="N14" s="4">
        <f>Formula_Hub!N38</f>
        <v>0</v>
      </c>
      <c r="O14" s="4">
        <f>Formula_Hub!O38</f>
        <v>0</v>
      </c>
    </row>
    <row r="15" spans="1:15" x14ac:dyDescent="0.3">
      <c r="A15" t="str">
        <f>Formula_Hub!A39</f>
        <v>2026-12</v>
      </c>
      <c r="B15" s="4">
        <f>Formula_Hub!B39</f>
        <v>0</v>
      </c>
      <c r="C15" s="4">
        <f>Formula_Hub!C39</f>
        <v>0</v>
      </c>
      <c r="D15" s="4">
        <f>Formula_Hub!D39</f>
        <v>0</v>
      </c>
      <c r="E15" s="4">
        <f>Formula_Hub!E39</f>
        <v>0</v>
      </c>
      <c r="F15" s="4">
        <f>Formula_Hub!F39</f>
        <v>0</v>
      </c>
      <c r="G15" s="4">
        <f>Formula_Hub!G39</f>
        <v>0</v>
      </c>
      <c r="H15" s="4">
        <f>Formula_Hub!H39</f>
        <v>0</v>
      </c>
      <c r="I15" s="4">
        <f>Formula_Hub!I39</f>
        <v>0</v>
      </c>
      <c r="J15" s="4">
        <f>Formula_Hub!J39</f>
        <v>0</v>
      </c>
      <c r="K15" s="4">
        <f>Formula_Hub!K39</f>
        <v>0</v>
      </c>
      <c r="L15" s="4">
        <f>Formula_Hub!L39</f>
        <v>0</v>
      </c>
      <c r="M15" s="4">
        <f>Formula_Hub!M39</f>
        <v>0</v>
      </c>
      <c r="N15" s="4">
        <f>Formula_Hub!N39</f>
        <v>0</v>
      </c>
      <c r="O15" s="4">
        <f>Formula_Hub!O39</f>
        <v>0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workbookViewId="0"/>
  </sheetViews>
  <sheetFormatPr defaultRowHeight="13.5" x14ac:dyDescent="0.3"/>
  <cols>
    <col min="1" max="16" width="18" customWidth="1"/>
  </cols>
  <sheetData>
    <row r="1" spans="1:16" ht="17.649999999999999" x14ac:dyDescent="0.4">
      <c r="A1" s="1" t="s">
        <v>221</v>
      </c>
    </row>
    <row r="2" spans="1:16" x14ac:dyDescent="0.3">
      <c r="A2" s="2" t="s">
        <v>210</v>
      </c>
    </row>
    <row r="3" spans="1:16" ht="40.5" x14ac:dyDescent="0.3">
      <c r="A3" s="3" t="s">
        <v>50</v>
      </c>
      <c r="B3" s="3" t="s">
        <v>154</v>
      </c>
      <c r="C3" s="3" t="s">
        <v>155</v>
      </c>
      <c r="D3" s="3" t="s">
        <v>156</v>
      </c>
      <c r="E3" s="3" t="s">
        <v>157</v>
      </c>
      <c r="F3" s="3" t="s">
        <v>158</v>
      </c>
      <c r="G3" s="3" t="s">
        <v>159</v>
      </c>
      <c r="H3" s="3" t="s">
        <v>160</v>
      </c>
      <c r="I3" s="3" t="s">
        <v>161</v>
      </c>
      <c r="J3" s="3" t="s">
        <v>162</v>
      </c>
      <c r="K3" s="3" t="s">
        <v>163</v>
      </c>
      <c r="L3" s="3" t="s">
        <v>164</v>
      </c>
      <c r="M3" s="3" t="s">
        <v>165</v>
      </c>
      <c r="N3" s="3" t="s">
        <v>42</v>
      </c>
      <c r="O3" s="3" t="s">
        <v>222</v>
      </c>
      <c r="P3" s="3" t="s">
        <v>223</v>
      </c>
    </row>
    <row r="4" spans="1:16" x14ac:dyDescent="0.3">
      <c r="A4" t="str">
        <f>Formula_Hub!A45</f>
        <v>Housing</v>
      </c>
      <c r="B4" s="4">
        <f>Formula_Hub!B45</f>
        <v>3000</v>
      </c>
      <c r="C4" s="4">
        <f>Formula_Hub!C45</f>
        <v>3000</v>
      </c>
      <c r="D4" s="4">
        <f>Formula_Hub!D45</f>
        <v>0</v>
      </c>
      <c r="E4" s="4">
        <f>Formula_Hub!E45</f>
        <v>0</v>
      </c>
      <c r="F4" s="4">
        <f>Formula_Hub!F45</f>
        <v>0</v>
      </c>
      <c r="G4" s="4">
        <f>Formula_Hub!G45</f>
        <v>0</v>
      </c>
      <c r="H4" s="4">
        <f>Formula_Hub!H45</f>
        <v>0</v>
      </c>
      <c r="I4" s="4">
        <f>Formula_Hub!I45</f>
        <v>0</v>
      </c>
      <c r="J4" s="4">
        <f>Formula_Hub!J45</f>
        <v>0</v>
      </c>
      <c r="K4" s="4">
        <f>Formula_Hub!K45</f>
        <v>0</v>
      </c>
      <c r="L4" s="4">
        <f>Formula_Hub!L45</f>
        <v>0</v>
      </c>
      <c r="M4" s="4">
        <f>Formula_Hub!M45</f>
        <v>0</v>
      </c>
      <c r="N4" s="4">
        <f>Formula_Hub!N45</f>
        <v>3000</v>
      </c>
      <c r="O4" s="4">
        <f>Formula_Hub!O45</f>
        <v>36000</v>
      </c>
      <c r="P4" s="6">
        <f>Formula_Hub!P45</f>
        <v>0.58252427184466016</v>
      </c>
    </row>
    <row r="5" spans="1:16" x14ac:dyDescent="0.3">
      <c r="A5" t="str">
        <f>Formula_Hub!A46</f>
        <v>Food &amp; Dining</v>
      </c>
      <c r="B5" s="4">
        <f>Formula_Hub!B46</f>
        <v>770</v>
      </c>
      <c r="C5" s="4">
        <f>Formula_Hub!C46</f>
        <v>870</v>
      </c>
      <c r="D5" s="4">
        <f>Formula_Hub!D46</f>
        <v>0</v>
      </c>
      <c r="E5" s="4">
        <f>Formula_Hub!E46</f>
        <v>0</v>
      </c>
      <c r="F5" s="4">
        <f>Formula_Hub!F46</f>
        <v>0</v>
      </c>
      <c r="G5" s="4">
        <f>Formula_Hub!G46</f>
        <v>0</v>
      </c>
      <c r="H5" s="4">
        <f>Formula_Hub!H46</f>
        <v>0</v>
      </c>
      <c r="I5" s="4">
        <f>Formula_Hub!I46</f>
        <v>0</v>
      </c>
      <c r="J5" s="4">
        <f>Formula_Hub!J46</f>
        <v>0</v>
      </c>
      <c r="K5" s="4">
        <f>Formula_Hub!K46</f>
        <v>0</v>
      </c>
      <c r="L5" s="4">
        <f>Formula_Hub!L46</f>
        <v>0</v>
      </c>
      <c r="M5" s="4">
        <f>Formula_Hub!M46</f>
        <v>0</v>
      </c>
      <c r="N5" s="4">
        <f>Formula_Hub!N46</f>
        <v>820</v>
      </c>
      <c r="O5" s="4">
        <f>Formula_Hub!O46</f>
        <v>9840</v>
      </c>
      <c r="P5" s="6">
        <f>Formula_Hub!P46</f>
        <v>0.15922330097087378</v>
      </c>
    </row>
    <row r="6" spans="1:16" x14ac:dyDescent="0.3">
      <c r="A6" t="str">
        <f>Formula_Hub!A47</f>
        <v>Transportation</v>
      </c>
      <c r="B6" s="4">
        <f>Formula_Hub!B47</f>
        <v>220</v>
      </c>
      <c r="C6" s="4">
        <f>Formula_Hub!C47</f>
        <v>260</v>
      </c>
      <c r="D6" s="4">
        <f>Formula_Hub!D47</f>
        <v>0</v>
      </c>
      <c r="E6" s="4">
        <f>Formula_Hub!E47</f>
        <v>0</v>
      </c>
      <c r="F6" s="4">
        <f>Formula_Hub!F47</f>
        <v>0</v>
      </c>
      <c r="G6" s="4">
        <f>Formula_Hub!G47</f>
        <v>0</v>
      </c>
      <c r="H6" s="4">
        <f>Formula_Hub!H47</f>
        <v>0</v>
      </c>
      <c r="I6" s="4">
        <f>Formula_Hub!I47</f>
        <v>0</v>
      </c>
      <c r="J6" s="4">
        <f>Formula_Hub!J47</f>
        <v>0</v>
      </c>
      <c r="K6" s="4">
        <f>Formula_Hub!K47</f>
        <v>0</v>
      </c>
      <c r="L6" s="4">
        <f>Formula_Hub!L47</f>
        <v>0</v>
      </c>
      <c r="M6" s="4">
        <f>Formula_Hub!M47</f>
        <v>0</v>
      </c>
      <c r="N6" s="4">
        <f>Formula_Hub!N47</f>
        <v>240</v>
      </c>
      <c r="O6" s="4">
        <f>Formula_Hub!O47</f>
        <v>2880</v>
      </c>
      <c r="P6" s="6">
        <f>Formula_Hub!P47</f>
        <v>4.6601941747572817E-2</v>
      </c>
    </row>
    <row r="7" spans="1:16" x14ac:dyDescent="0.3">
      <c r="A7" t="str">
        <f>Formula_Hub!A48</f>
        <v>Telecom</v>
      </c>
      <c r="B7" s="4">
        <f>Formula_Hub!B48</f>
        <v>60</v>
      </c>
      <c r="C7" s="4">
        <f>Formula_Hub!C48</f>
        <v>60</v>
      </c>
      <c r="D7" s="4">
        <f>Formula_Hub!D48</f>
        <v>0</v>
      </c>
      <c r="E7" s="4">
        <f>Formula_Hub!E48</f>
        <v>0</v>
      </c>
      <c r="F7" s="4">
        <f>Formula_Hub!F48</f>
        <v>0</v>
      </c>
      <c r="G7" s="4">
        <f>Formula_Hub!G48</f>
        <v>0</v>
      </c>
      <c r="H7" s="4">
        <f>Formula_Hub!H48</f>
        <v>0</v>
      </c>
      <c r="I7" s="4">
        <f>Formula_Hub!I48</f>
        <v>0</v>
      </c>
      <c r="J7" s="4">
        <f>Formula_Hub!J48</f>
        <v>0</v>
      </c>
      <c r="K7" s="4">
        <f>Formula_Hub!K48</f>
        <v>0</v>
      </c>
      <c r="L7" s="4">
        <f>Formula_Hub!L48</f>
        <v>0</v>
      </c>
      <c r="M7" s="4">
        <f>Formula_Hub!M48</f>
        <v>0</v>
      </c>
      <c r="N7" s="4">
        <f>Formula_Hub!N48</f>
        <v>60</v>
      </c>
      <c r="O7" s="4">
        <f>Formula_Hub!O48</f>
        <v>720</v>
      </c>
      <c r="P7" s="6">
        <f>Formula_Hub!P48</f>
        <v>1.1650485436893204E-2</v>
      </c>
    </row>
    <row r="8" spans="1:16" x14ac:dyDescent="0.3">
      <c r="A8" t="str">
        <f>Formula_Hub!A49</f>
        <v>Subscriptions</v>
      </c>
      <c r="B8" s="4">
        <f>Formula_Hub!B49</f>
        <v>30</v>
      </c>
      <c r="C8" s="4">
        <f>Formula_Hub!C49</f>
        <v>45</v>
      </c>
      <c r="D8" s="4">
        <f>Formula_Hub!D49</f>
        <v>0</v>
      </c>
      <c r="E8" s="4">
        <f>Formula_Hub!E49</f>
        <v>0</v>
      </c>
      <c r="F8" s="4">
        <f>Formula_Hub!F49</f>
        <v>0</v>
      </c>
      <c r="G8" s="4">
        <f>Formula_Hub!G49</f>
        <v>0</v>
      </c>
      <c r="H8" s="4">
        <f>Formula_Hub!H49</f>
        <v>0</v>
      </c>
      <c r="I8" s="4">
        <f>Formula_Hub!I49</f>
        <v>0</v>
      </c>
      <c r="J8" s="4">
        <f>Formula_Hub!J49</f>
        <v>0</v>
      </c>
      <c r="K8" s="4">
        <f>Formula_Hub!K49</f>
        <v>0</v>
      </c>
      <c r="L8" s="4">
        <f>Formula_Hub!L49</f>
        <v>0</v>
      </c>
      <c r="M8" s="4">
        <f>Formula_Hub!M49</f>
        <v>0</v>
      </c>
      <c r="N8" s="4">
        <f>Formula_Hub!N49</f>
        <v>37.5</v>
      </c>
      <c r="O8" s="4">
        <f>Formula_Hub!O49</f>
        <v>450</v>
      </c>
      <c r="P8" s="6">
        <f>Formula_Hub!P49</f>
        <v>7.2815533980582527E-3</v>
      </c>
    </row>
    <row r="9" spans="1:16" x14ac:dyDescent="0.3">
      <c r="A9" t="str">
        <f>Formula_Hub!A50</f>
        <v>Shopping</v>
      </c>
      <c r="B9" s="4">
        <f>Formula_Hub!B50</f>
        <v>250</v>
      </c>
      <c r="C9" s="4">
        <f>Formula_Hub!C50</f>
        <v>300</v>
      </c>
      <c r="D9" s="4">
        <f>Formula_Hub!D50</f>
        <v>0</v>
      </c>
      <c r="E9" s="4">
        <f>Formula_Hub!E50</f>
        <v>0</v>
      </c>
      <c r="F9" s="4">
        <f>Formula_Hub!F50</f>
        <v>0</v>
      </c>
      <c r="G9" s="4">
        <f>Formula_Hub!G50</f>
        <v>0</v>
      </c>
      <c r="H9" s="4">
        <f>Formula_Hub!H50</f>
        <v>0</v>
      </c>
      <c r="I9" s="4">
        <f>Formula_Hub!I50</f>
        <v>0</v>
      </c>
      <c r="J9" s="4">
        <f>Formula_Hub!J50</f>
        <v>0</v>
      </c>
      <c r="K9" s="4">
        <f>Formula_Hub!K50</f>
        <v>0</v>
      </c>
      <c r="L9" s="4">
        <f>Formula_Hub!L50</f>
        <v>0</v>
      </c>
      <c r="M9" s="4">
        <f>Formula_Hub!M50</f>
        <v>0</v>
      </c>
      <c r="N9" s="4">
        <f>Formula_Hub!N50</f>
        <v>275</v>
      </c>
      <c r="O9" s="4">
        <f>Formula_Hub!O50</f>
        <v>3300</v>
      </c>
      <c r="P9" s="6">
        <f>Formula_Hub!P50</f>
        <v>5.3398058252427182E-2</v>
      </c>
    </row>
    <row r="10" spans="1:16" x14ac:dyDescent="0.3">
      <c r="A10" t="str">
        <f>Formula_Hub!A51</f>
        <v>Medical</v>
      </c>
      <c r="B10" s="4">
        <f>Formula_Hub!B51</f>
        <v>80</v>
      </c>
      <c r="C10" s="4">
        <f>Formula_Hub!C51</f>
        <v>100</v>
      </c>
      <c r="D10" s="4">
        <f>Formula_Hub!D51</f>
        <v>0</v>
      </c>
      <c r="E10" s="4">
        <f>Formula_Hub!E51</f>
        <v>0</v>
      </c>
      <c r="F10" s="4">
        <f>Formula_Hub!F51</f>
        <v>0</v>
      </c>
      <c r="G10" s="4">
        <f>Formula_Hub!G51</f>
        <v>0</v>
      </c>
      <c r="H10" s="4">
        <f>Formula_Hub!H51</f>
        <v>0</v>
      </c>
      <c r="I10" s="4">
        <f>Formula_Hub!I51</f>
        <v>0</v>
      </c>
      <c r="J10" s="4">
        <f>Formula_Hub!J51</f>
        <v>0</v>
      </c>
      <c r="K10" s="4">
        <f>Formula_Hub!K51</f>
        <v>0</v>
      </c>
      <c r="L10" s="4">
        <f>Formula_Hub!L51</f>
        <v>0</v>
      </c>
      <c r="M10" s="4">
        <f>Formula_Hub!M51</f>
        <v>0</v>
      </c>
      <c r="N10" s="4">
        <f>Formula_Hub!N51</f>
        <v>90</v>
      </c>
      <c r="O10" s="4">
        <f>Formula_Hub!O51</f>
        <v>1080</v>
      </c>
      <c r="P10" s="6">
        <f>Formula_Hub!P51</f>
        <v>1.7475728155339806E-2</v>
      </c>
    </row>
    <row r="11" spans="1:16" x14ac:dyDescent="0.3">
      <c r="A11" t="str">
        <f>Formula_Hub!A52</f>
        <v>Fitness</v>
      </c>
      <c r="B11" s="4">
        <f>Formula_Hub!B52</f>
        <v>70</v>
      </c>
      <c r="C11" s="4">
        <f>Formula_Hub!C52</f>
        <v>70</v>
      </c>
      <c r="D11" s="4">
        <f>Formula_Hub!D52</f>
        <v>0</v>
      </c>
      <c r="E11" s="4">
        <f>Formula_Hub!E52</f>
        <v>0</v>
      </c>
      <c r="F11" s="4">
        <f>Formula_Hub!F52</f>
        <v>0</v>
      </c>
      <c r="G11" s="4">
        <f>Formula_Hub!G52</f>
        <v>0</v>
      </c>
      <c r="H11" s="4">
        <f>Formula_Hub!H52</f>
        <v>0</v>
      </c>
      <c r="I11" s="4">
        <f>Formula_Hub!I52</f>
        <v>0</v>
      </c>
      <c r="J11" s="4">
        <f>Formula_Hub!J52</f>
        <v>0</v>
      </c>
      <c r="K11" s="4">
        <f>Formula_Hub!K52</f>
        <v>0</v>
      </c>
      <c r="L11" s="4">
        <f>Formula_Hub!L52</f>
        <v>0</v>
      </c>
      <c r="M11" s="4">
        <f>Formula_Hub!M52</f>
        <v>0</v>
      </c>
      <c r="N11" s="4">
        <f>Formula_Hub!N52</f>
        <v>70</v>
      </c>
      <c r="O11" s="4">
        <f>Formula_Hub!O52</f>
        <v>840</v>
      </c>
      <c r="P11" s="6">
        <f>Formula_Hub!P52</f>
        <v>1.3592233009708738E-2</v>
      </c>
    </row>
    <row r="12" spans="1:16" x14ac:dyDescent="0.3">
      <c r="A12" t="str">
        <f>Formula_Hub!A53</f>
        <v>Education</v>
      </c>
      <c r="B12" s="4">
        <f>Formula_Hub!B53</f>
        <v>120</v>
      </c>
      <c r="C12" s="4">
        <f>Formula_Hub!C53</f>
        <v>140</v>
      </c>
      <c r="D12" s="4">
        <f>Formula_Hub!D53</f>
        <v>0</v>
      </c>
      <c r="E12" s="4">
        <f>Formula_Hub!E53</f>
        <v>0</v>
      </c>
      <c r="F12" s="4">
        <f>Formula_Hub!F53</f>
        <v>0</v>
      </c>
      <c r="G12" s="4">
        <f>Formula_Hub!G53</f>
        <v>0</v>
      </c>
      <c r="H12" s="4">
        <f>Formula_Hub!H53</f>
        <v>0</v>
      </c>
      <c r="I12" s="4">
        <f>Formula_Hub!I53</f>
        <v>0</v>
      </c>
      <c r="J12" s="4">
        <f>Formula_Hub!J53</f>
        <v>0</v>
      </c>
      <c r="K12" s="4">
        <f>Formula_Hub!K53</f>
        <v>0</v>
      </c>
      <c r="L12" s="4">
        <f>Formula_Hub!L53</f>
        <v>0</v>
      </c>
      <c r="M12" s="4">
        <f>Formula_Hub!M53</f>
        <v>0</v>
      </c>
      <c r="N12" s="4">
        <f>Formula_Hub!N53</f>
        <v>130</v>
      </c>
      <c r="O12" s="4">
        <f>Formula_Hub!O53</f>
        <v>1560</v>
      </c>
      <c r="P12" s="6">
        <f>Formula_Hub!P53</f>
        <v>2.524271844660194E-2</v>
      </c>
    </row>
    <row r="13" spans="1:16" x14ac:dyDescent="0.3">
      <c r="A13" t="str">
        <f>Formula_Hub!A54</f>
        <v>Pet</v>
      </c>
      <c r="B13" s="4">
        <f>Formula_Hub!B54</f>
        <v>90</v>
      </c>
      <c r="C13" s="4">
        <f>Formula_Hub!C54</f>
        <v>100</v>
      </c>
      <c r="D13" s="4">
        <f>Formula_Hub!D54</f>
        <v>0</v>
      </c>
      <c r="E13" s="4">
        <f>Formula_Hub!E54</f>
        <v>0</v>
      </c>
      <c r="F13" s="4">
        <f>Formula_Hub!F54</f>
        <v>0</v>
      </c>
      <c r="G13" s="4">
        <f>Formula_Hub!G54</f>
        <v>0</v>
      </c>
      <c r="H13" s="4">
        <f>Formula_Hub!H54</f>
        <v>0</v>
      </c>
      <c r="I13" s="4">
        <f>Formula_Hub!I54</f>
        <v>0</v>
      </c>
      <c r="J13" s="4">
        <f>Formula_Hub!J54</f>
        <v>0</v>
      </c>
      <c r="K13" s="4">
        <f>Formula_Hub!K54</f>
        <v>0</v>
      </c>
      <c r="L13" s="4">
        <f>Formula_Hub!L54</f>
        <v>0</v>
      </c>
      <c r="M13" s="4">
        <f>Formula_Hub!M54</f>
        <v>0</v>
      </c>
      <c r="N13" s="4">
        <f>Formula_Hub!N54</f>
        <v>95</v>
      </c>
      <c r="O13" s="4">
        <f>Formula_Hub!O54</f>
        <v>1140</v>
      </c>
      <c r="P13" s="6">
        <f>Formula_Hub!P54</f>
        <v>1.8446601941747572E-2</v>
      </c>
    </row>
    <row r="14" spans="1:16" x14ac:dyDescent="0.3">
      <c r="A14" t="str">
        <f>Formula_Hub!A55</f>
        <v>Entertainment</v>
      </c>
      <c r="B14" s="4">
        <f>Formula_Hub!B55</f>
        <v>100</v>
      </c>
      <c r="C14" s="4">
        <f>Formula_Hub!C55</f>
        <v>120</v>
      </c>
      <c r="D14" s="4">
        <f>Formula_Hub!D55</f>
        <v>0</v>
      </c>
      <c r="E14" s="4">
        <f>Formula_Hub!E55</f>
        <v>0</v>
      </c>
      <c r="F14" s="4">
        <f>Formula_Hub!F55</f>
        <v>0</v>
      </c>
      <c r="G14" s="4">
        <f>Formula_Hub!G55</f>
        <v>0</v>
      </c>
      <c r="H14" s="4">
        <f>Formula_Hub!H55</f>
        <v>0</v>
      </c>
      <c r="I14" s="4">
        <f>Formula_Hub!I55</f>
        <v>0</v>
      </c>
      <c r="J14" s="4">
        <f>Formula_Hub!J55</f>
        <v>0</v>
      </c>
      <c r="K14" s="4">
        <f>Formula_Hub!K55</f>
        <v>0</v>
      </c>
      <c r="L14" s="4">
        <f>Formula_Hub!L55</f>
        <v>0</v>
      </c>
      <c r="M14" s="4">
        <f>Formula_Hub!M55</f>
        <v>0</v>
      </c>
      <c r="N14" s="4">
        <f>Formula_Hub!N55</f>
        <v>110</v>
      </c>
      <c r="O14" s="4">
        <f>Formula_Hub!O55</f>
        <v>1320</v>
      </c>
      <c r="P14" s="6">
        <f>Formula_Hub!P55</f>
        <v>2.1359223300970873E-2</v>
      </c>
    </row>
    <row r="15" spans="1:16" x14ac:dyDescent="0.3">
      <c r="A15" t="str">
        <f>Formula_Hub!A56</f>
        <v>Taxes &amp; Gov Fees</v>
      </c>
      <c r="B15" s="4">
        <f>Formula_Hub!B56</f>
        <v>100</v>
      </c>
      <c r="C15" s="4">
        <f>Formula_Hub!C56</f>
        <v>150</v>
      </c>
      <c r="D15" s="4">
        <f>Formula_Hub!D56</f>
        <v>0</v>
      </c>
      <c r="E15" s="4">
        <f>Formula_Hub!E56</f>
        <v>0</v>
      </c>
      <c r="F15" s="4">
        <f>Formula_Hub!F56</f>
        <v>0</v>
      </c>
      <c r="G15" s="4">
        <f>Formula_Hub!G56</f>
        <v>0</v>
      </c>
      <c r="H15" s="4">
        <f>Formula_Hub!H56</f>
        <v>0</v>
      </c>
      <c r="I15" s="4">
        <f>Formula_Hub!I56</f>
        <v>0</v>
      </c>
      <c r="J15" s="4">
        <f>Formula_Hub!J56</f>
        <v>0</v>
      </c>
      <c r="K15" s="4">
        <f>Formula_Hub!K56</f>
        <v>0</v>
      </c>
      <c r="L15" s="4">
        <f>Formula_Hub!L56</f>
        <v>0</v>
      </c>
      <c r="M15" s="4">
        <f>Formula_Hub!M56</f>
        <v>0</v>
      </c>
      <c r="N15" s="4">
        <f>Formula_Hub!N56</f>
        <v>125</v>
      </c>
      <c r="O15" s="4">
        <f>Formula_Hub!O56</f>
        <v>1500</v>
      </c>
      <c r="P15" s="6">
        <f>Formula_Hub!P56</f>
        <v>2.4271844660194174E-2</v>
      </c>
    </row>
    <row r="16" spans="1:16" x14ac:dyDescent="0.3">
      <c r="A16" t="str">
        <f>Formula_Hub!A57</f>
        <v>Other</v>
      </c>
      <c r="B16" s="4">
        <f>Formula_Hub!B57</f>
        <v>110</v>
      </c>
      <c r="C16" s="4">
        <f>Formula_Hub!C57</f>
        <v>85</v>
      </c>
      <c r="D16" s="4">
        <f>Formula_Hub!D57</f>
        <v>0</v>
      </c>
      <c r="E16" s="4">
        <f>Formula_Hub!E57</f>
        <v>0</v>
      </c>
      <c r="F16" s="4">
        <f>Formula_Hub!F57</f>
        <v>0</v>
      </c>
      <c r="G16" s="4">
        <f>Formula_Hub!G57</f>
        <v>0</v>
      </c>
      <c r="H16" s="4">
        <f>Formula_Hub!H57</f>
        <v>0</v>
      </c>
      <c r="I16" s="4">
        <f>Formula_Hub!I57</f>
        <v>0</v>
      </c>
      <c r="J16" s="4">
        <f>Formula_Hub!J57</f>
        <v>0</v>
      </c>
      <c r="K16" s="4">
        <f>Formula_Hub!K57</f>
        <v>0</v>
      </c>
      <c r="L16" s="4">
        <f>Formula_Hub!L57</f>
        <v>0</v>
      </c>
      <c r="M16" s="4">
        <f>Formula_Hub!M57</f>
        <v>0</v>
      </c>
      <c r="N16" s="4">
        <f>Formula_Hub!N57</f>
        <v>97.5</v>
      </c>
      <c r="O16" s="4">
        <f>Formula_Hub!O57</f>
        <v>1170</v>
      </c>
      <c r="P16" s="6">
        <f>Formula_Hub!P57</f>
        <v>1.8932038834951457E-2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>
      <selection activeCell="I4" sqref="I4"/>
    </sheetView>
  </sheetViews>
  <sheetFormatPr defaultRowHeight="13.5" x14ac:dyDescent="0.3"/>
  <cols>
    <col min="1" max="10" width="18" customWidth="1"/>
  </cols>
  <sheetData>
    <row r="1" spans="1:10" ht="17.649999999999999" x14ac:dyDescent="0.4">
      <c r="A1" s="1" t="s">
        <v>224</v>
      </c>
    </row>
    <row r="2" spans="1:10" x14ac:dyDescent="0.3">
      <c r="A2" s="2" t="s">
        <v>225</v>
      </c>
    </row>
    <row r="3" spans="1:10" ht="27" x14ac:dyDescent="0.3">
      <c r="A3" s="3" t="s">
        <v>36</v>
      </c>
      <c r="B3" s="3" t="s">
        <v>226</v>
      </c>
      <c r="C3" s="3" t="s">
        <v>227</v>
      </c>
      <c r="D3" s="3" t="s">
        <v>228</v>
      </c>
      <c r="E3" s="3" t="s">
        <v>229</v>
      </c>
      <c r="F3" s="3" t="s">
        <v>230</v>
      </c>
      <c r="G3" s="3" t="s">
        <v>231</v>
      </c>
      <c r="H3" s="3" t="s">
        <v>232</v>
      </c>
      <c r="I3" s="3" t="s">
        <v>39</v>
      </c>
      <c r="J3" s="3" t="s">
        <v>233</v>
      </c>
    </row>
    <row r="4" spans="1:10" x14ac:dyDescent="0.3">
      <c r="A4" t="s">
        <v>154</v>
      </c>
      <c r="B4" s="4">
        <f>SUMIFS(Sales_Tax_Detail!$L$4:$L$500,Sales_Tax_Detail!$C$4:$C$500,$A4)</f>
        <v>1140</v>
      </c>
      <c r="C4" s="4">
        <f>SUMIFS(Sales_Tax_Detail!$M$4:$M$500,Sales_Tax_Detail!$C$4:$C$500,$A4)</f>
        <v>450</v>
      </c>
      <c r="D4" s="4">
        <f>SUMIFS(Sales_Tax_Detail!$N$4:$N$500,Sales_Tax_Detail!$C$4:$C$500,$A4)</f>
        <v>3080</v>
      </c>
      <c r="E4" s="4">
        <f>SUMIFS(Sales_Tax_Detail!$O$4:$O$500,Sales_Tax_Detail!$C$4:$C$500,$A4)</f>
        <v>330</v>
      </c>
      <c r="F4" s="4">
        <f>SUMIFS(Sales_Tax_Detail!$P$4:$P$500,Sales_Tax_Detail!$C$4:$C$500,$A4)</f>
        <v>991.51989562948472</v>
      </c>
      <c r="G4" s="4">
        <f>SUMIFS(Sales_Tax_Detail!$Q$4:$Q$500,Sales_Tax_Detail!$C$4:$C$500,$A4)</f>
        <v>49.575994781474236</v>
      </c>
      <c r="H4" s="4">
        <f>SUMIFS(Sales_Tax_Detail!$R$4:$R$500,Sales_Tax_Detail!$C$4:$C$500,$A4)</f>
        <v>98.904109589041113</v>
      </c>
      <c r="I4" s="4">
        <f>SUMIFS(Sales_Tax_Detail!$S$4:$S$500,Sales_Tax_Detail!$C$4:$C$500,$A4)</f>
        <v>148.48010437051533</v>
      </c>
      <c r="J4" t="str">
        <f t="shared" ref="J4:J15" si="0">IF(I4&gt;0,"Estimated","No estimated tax")</f>
        <v>Estimated</v>
      </c>
    </row>
    <row r="5" spans="1:10" x14ac:dyDescent="0.3">
      <c r="A5" t="s">
        <v>155</v>
      </c>
      <c r="B5" s="4">
        <f>SUMIFS(Sales_Tax_Detail!$L$4:$L$500,Sales_Tax_Detail!$C$4:$C$500,$A5)</f>
        <v>1305</v>
      </c>
      <c r="C5" s="4">
        <f>SUMIFS(Sales_Tax_Detail!$M$4:$M$500,Sales_Tax_Detail!$C$4:$C$500,$A5)</f>
        <v>520</v>
      </c>
      <c r="D5" s="4">
        <f>SUMIFS(Sales_Tax_Detail!$N$4:$N$500,Sales_Tax_Detail!$C$4:$C$500,$A5)</f>
        <v>3100</v>
      </c>
      <c r="E5" s="4">
        <f>SUMIFS(Sales_Tax_Detail!$O$4:$O$500,Sales_Tax_Detail!$C$4:$C$500,$A5)</f>
        <v>375</v>
      </c>
      <c r="F5" s="4">
        <f>SUMIFS(Sales_Tax_Detail!$P$4:$P$500,Sales_Tax_Detail!$C$4:$C$500,$A5)</f>
        <v>1135.0293542074364</v>
      </c>
      <c r="G5" s="4">
        <f>SUMIFS(Sales_Tax_Detail!$Q$4:$Q$500,Sales_Tax_Detail!$C$4:$C$500,$A5)</f>
        <v>56.751467710371813</v>
      </c>
      <c r="H5" s="4">
        <f>SUMIFS(Sales_Tax_Detail!$R$4:$R$500,Sales_Tax_Detail!$C$4:$C$500,$A5)</f>
        <v>113.2191780821918</v>
      </c>
      <c r="I5" s="4">
        <f>SUMIFS(Sales_Tax_Detail!$S$4:$S$500,Sales_Tax_Detail!$C$4:$C$500,$A5)</f>
        <v>169.9706457925636</v>
      </c>
      <c r="J5" t="str">
        <f t="shared" si="0"/>
        <v>Estimated</v>
      </c>
    </row>
    <row r="6" spans="1:10" x14ac:dyDescent="0.3">
      <c r="A6" t="s">
        <v>156</v>
      </c>
      <c r="B6" s="4">
        <f>SUMIFS(Sales_Tax_Detail!$L$4:$L$500,Sales_Tax_Detail!$C$4:$C$500,$A6)</f>
        <v>0</v>
      </c>
      <c r="C6" s="4">
        <f>SUMIFS(Sales_Tax_Detail!$M$4:$M$500,Sales_Tax_Detail!$C$4:$C$500,$A6)</f>
        <v>0</v>
      </c>
      <c r="D6" s="4">
        <f>SUMIFS(Sales_Tax_Detail!$N$4:$N$500,Sales_Tax_Detail!$C$4:$C$500,$A6)</f>
        <v>0</v>
      </c>
      <c r="E6" s="4">
        <f>SUMIFS(Sales_Tax_Detail!$O$4:$O$500,Sales_Tax_Detail!$C$4:$C$500,$A6)</f>
        <v>0</v>
      </c>
      <c r="F6" s="4">
        <f>SUMIFS(Sales_Tax_Detail!$P$4:$P$500,Sales_Tax_Detail!$C$4:$C$500,$A6)</f>
        <v>0</v>
      </c>
      <c r="G6" s="4">
        <f>SUMIFS(Sales_Tax_Detail!$Q$4:$Q$500,Sales_Tax_Detail!$C$4:$C$500,$A6)</f>
        <v>0</v>
      </c>
      <c r="H6" s="4">
        <f>SUMIFS(Sales_Tax_Detail!$R$4:$R$500,Sales_Tax_Detail!$C$4:$C$500,$A6)</f>
        <v>0</v>
      </c>
      <c r="I6" s="4">
        <f>SUMIFS(Sales_Tax_Detail!$S$4:$S$500,Sales_Tax_Detail!$C$4:$C$500,$A6)</f>
        <v>0</v>
      </c>
      <c r="J6" t="str">
        <f t="shared" si="0"/>
        <v>No estimated tax</v>
      </c>
    </row>
    <row r="7" spans="1:10" x14ac:dyDescent="0.3">
      <c r="A7" t="s">
        <v>157</v>
      </c>
      <c r="B7" s="4">
        <f>SUMIFS(Sales_Tax_Detail!$L$4:$L$500,Sales_Tax_Detail!$C$4:$C$500,$A7)</f>
        <v>0</v>
      </c>
      <c r="C7" s="4">
        <f>SUMIFS(Sales_Tax_Detail!$M$4:$M$500,Sales_Tax_Detail!$C$4:$C$500,$A7)</f>
        <v>0</v>
      </c>
      <c r="D7" s="4">
        <f>SUMIFS(Sales_Tax_Detail!$N$4:$N$500,Sales_Tax_Detail!$C$4:$C$500,$A7)</f>
        <v>0</v>
      </c>
      <c r="E7" s="4">
        <f>SUMIFS(Sales_Tax_Detail!$O$4:$O$500,Sales_Tax_Detail!$C$4:$C$500,$A7)</f>
        <v>0</v>
      </c>
      <c r="F7" s="4">
        <f>SUMIFS(Sales_Tax_Detail!$P$4:$P$500,Sales_Tax_Detail!$C$4:$C$500,$A7)</f>
        <v>0</v>
      </c>
      <c r="G7" s="4">
        <f>SUMIFS(Sales_Tax_Detail!$Q$4:$Q$500,Sales_Tax_Detail!$C$4:$C$500,$A7)</f>
        <v>0</v>
      </c>
      <c r="H7" s="4">
        <f>SUMIFS(Sales_Tax_Detail!$R$4:$R$500,Sales_Tax_Detail!$C$4:$C$500,$A7)</f>
        <v>0</v>
      </c>
      <c r="I7" s="4">
        <f>SUMIFS(Sales_Tax_Detail!$S$4:$S$500,Sales_Tax_Detail!$C$4:$C$500,$A7)</f>
        <v>0</v>
      </c>
      <c r="J7" t="str">
        <f t="shared" si="0"/>
        <v>No estimated tax</v>
      </c>
    </row>
    <row r="8" spans="1:10" x14ac:dyDescent="0.3">
      <c r="A8" t="s">
        <v>158</v>
      </c>
      <c r="B8" s="4">
        <f>SUMIFS(Sales_Tax_Detail!$L$4:$L$500,Sales_Tax_Detail!$C$4:$C$500,$A8)</f>
        <v>0</v>
      </c>
      <c r="C8" s="4">
        <f>SUMIFS(Sales_Tax_Detail!$M$4:$M$500,Sales_Tax_Detail!$C$4:$C$500,$A8)</f>
        <v>0</v>
      </c>
      <c r="D8" s="4">
        <f>SUMIFS(Sales_Tax_Detail!$N$4:$N$500,Sales_Tax_Detail!$C$4:$C$500,$A8)</f>
        <v>0</v>
      </c>
      <c r="E8" s="4">
        <f>SUMIFS(Sales_Tax_Detail!$O$4:$O$500,Sales_Tax_Detail!$C$4:$C$500,$A8)</f>
        <v>0</v>
      </c>
      <c r="F8" s="4">
        <f>SUMIFS(Sales_Tax_Detail!$P$4:$P$500,Sales_Tax_Detail!$C$4:$C$500,$A8)</f>
        <v>0</v>
      </c>
      <c r="G8" s="4">
        <f>SUMIFS(Sales_Tax_Detail!$Q$4:$Q$500,Sales_Tax_Detail!$C$4:$C$500,$A8)</f>
        <v>0</v>
      </c>
      <c r="H8" s="4">
        <f>SUMIFS(Sales_Tax_Detail!$R$4:$R$500,Sales_Tax_Detail!$C$4:$C$500,$A8)</f>
        <v>0</v>
      </c>
      <c r="I8" s="4">
        <f>SUMIFS(Sales_Tax_Detail!$S$4:$S$500,Sales_Tax_Detail!$C$4:$C$500,$A8)</f>
        <v>0</v>
      </c>
      <c r="J8" t="str">
        <f t="shared" si="0"/>
        <v>No estimated tax</v>
      </c>
    </row>
    <row r="9" spans="1:10" x14ac:dyDescent="0.3">
      <c r="A9" t="s">
        <v>159</v>
      </c>
      <c r="B9" s="4">
        <f>SUMIFS(Sales_Tax_Detail!$L$4:$L$500,Sales_Tax_Detail!$C$4:$C$500,$A9)</f>
        <v>0</v>
      </c>
      <c r="C9" s="4">
        <f>SUMIFS(Sales_Tax_Detail!$M$4:$M$500,Sales_Tax_Detail!$C$4:$C$500,$A9)</f>
        <v>0</v>
      </c>
      <c r="D9" s="4">
        <f>SUMIFS(Sales_Tax_Detail!$N$4:$N$500,Sales_Tax_Detail!$C$4:$C$500,$A9)</f>
        <v>0</v>
      </c>
      <c r="E9" s="4">
        <f>SUMIFS(Sales_Tax_Detail!$O$4:$O$500,Sales_Tax_Detail!$C$4:$C$500,$A9)</f>
        <v>0</v>
      </c>
      <c r="F9" s="4">
        <f>SUMIFS(Sales_Tax_Detail!$P$4:$P$500,Sales_Tax_Detail!$C$4:$C$500,$A9)</f>
        <v>0</v>
      </c>
      <c r="G9" s="4">
        <f>SUMIFS(Sales_Tax_Detail!$Q$4:$Q$500,Sales_Tax_Detail!$C$4:$C$500,$A9)</f>
        <v>0</v>
      </c>
      <c r="H9" s="4">
        <f>SUMIFS(Sales_Tax_Detail!$R$4:$R$500,Sales_Tax_Detail!$C$4:$C$500,$A9)</f>
        <v>0</v>
      </c>
      <c r="I9" s="4">
        <f>SUMIFS(Sales_Tax_Detail!$S$4:$S$500,Sales_Tax_Detail!$C$4:$C$500,$A9)</f>
        <v>0</v>
      </c>
      <c r="J9" t="str">
        <f t="shared" si="0"/>
        <v>No estimated tax</v>
      </c>
    </row>
    <row r="10" spans="1:10" x14ac:dyDescent="0.3">
      <c r="A10" t="s">
        <v>160</v>
      </c>
      <c r="B10" s="4">
        <f>SUMIFS(Sales_Tax_Detail!$L$4:$L$500,Sales_Tax_Detail!$C$4:$C$500,$A10)</f>
        <v>0</v>
      </c>
      <c r="C10" s="4">
        <f>SUMIFS(Sales_Tax_Detail!$M$4:$M$500,Sales_Tax_Detail!$C$4:$C$500,$A10)</f>
        <v>0</v>
      </c>
      <c r="D10" s="4">
        <f>SUMIFS(Sales_Tax_Detail!$N$4:$N$500,Sales_Tax_Detail!$C$4:$C$500,$A10)</f>
        <v>0</v>
      </c>
      <c r="E10" s="4">
        <f>SUMIFS(Sales_Tax_Detail!$O$4:$O$500,Sales_Tax_Detail!$C$4:$C$500,$A10)</f>
        <v>0</v>
      </c>
      <c r="F10" s="4">
        <f>SUMIFS(Sales_Tax_Detail!$P$4:$P$500,Sales_Tax_Detail!$C$4:$C$500,$A10)</f>
        <v>0</v>
      </c>
      <c r="G10" s="4">
        <f>SUMIFS(Sales_Tax_Detail!$Q$4:$Q$500,Sales_Tax_Detail!$C$4:$C$500,$A10)</f>
        <v>0</v>
      </c>
      <c r="H10" s="4">
        <f>SUMIFS(Sales_Tax_Detail!$R$4:$R$500,Sales_Tax_Detail!$C$4:$C$500,$A10)</f>
        <v>0</v>
      </c>
      <c r="I10" s="4">
        <f>SUMIFS(Sales_Tax_Detail!$S$4:$S$500,Sales_Tax_Detail!$C$4:$C$500,$A10)</f>
        <v>0</v>
      </c>
      <c r="J10" t="str">
        <f t="shared" si="0"/>
        <v>No estimated tax</v>
      </c>
    </row>
    <row r="11" spans="1:10" x14ac:dyDescent="0.3">
      <c r="A11" t="s">
        <v>161</v>
      </c>
      <c r="B11" s="4">
        <f>SUMIFS(Sales_Tax_Detail!$L$4:$L$500,Sales_Tax_Detail!$C$4:$C$500,$A11)</f>
        <v>0</v>
      </c>
      <c r="C11" s="4">
        <f>SUMIFS(Sales_Tax_Detail!$M$4:$M$500,Sales_Tax_Detail!$C$4:$C$500,$A11)</f>
        <v>0</v>
      </c>
      <c r="D11" s="4">
        <f>SUMIFS(Sales_Tax_Detail!$N$4:$N$500,Sales_Tax_Detail!$C$4:$C$500,$A11)</f>
        <v>0</v>
      </c>
      <c r="E11" s="4">
        <f>SUMIFS(Sales_Tax_Detail!$O$4:$O$500,Sales_Tax_Detail!$C$4:$C$500,$A11)</f>
        <v>0</v>
      </c>
      <c r="F11" s="4">
        <f>SUMIFS(Sales_Tax_Detail!$P$4:$P$500,Sales_Tax_Detail!$C$4:$C$500,$A11)</f>
        <v>0</v>
      </c>
      <c r="G11" s="4">
        <f>SUMIFS(Sales_Tax_Detail!$Q$4:$Q$500,Sales_Tax_Detail!$C$4:$C$500,$A11)</f>
        <v>0</v>
      </c>
      <c r="H11" s="4">
        <f>SUMIFS(Sales_Tax_Detail!$R$4:$R$500,Sales_Tax_Detail!$C$4:$C$500,$A11)</f>
        <v>0</v>
      </c>
      <c r="I11" s="4">
        <f>SUMIFS(Sales_Tax_Detail!$S$4:$S$500,Sales_Tax_Detail!$C$4:$C$500,$A11)</f>
        <v>0</v>
      </c>
      <c r="J11" t="str">
        <f t="shared" si="0"/>
        <v>No estimated tax</v>
      </c>
    </row>
    <row r="12" spans="1:10" x14ac:dyDescent="0.3">
      <c r="A12" t="s">
        <v>162</v>
      </c>
      <c r="B12" s="4">
        <f>SUMIFS(Sales_Tax_Detail!$L$4:$L$500,Sales_Tax_Detail!$C$4:$C$500,$A12)</f>
        <v>0</v>
      </c>
      <c r="C12" s="4">
        <f>SUMIFS(Sales_Tax_Detail!$M$4:$M$500,Sales_Tax_Detail!$C$4:$C$500,$A12)</f>
        <v>0</v>
      </c>
      <c r="D12" s="4">
        <f>SUMIFS(Sales_Tax_Detail!$N$4:$N$500,Sales_Tax_Detail!$C$4:$C$500,$A12)</f>
        <v>0</v>
      </c>
      <c r="E12" s="4">
        <f>SUMIFS(Sales_Tax_Detail!$O$4:$O$500,Sales_Tax_Detail!$C$4:$C$500,$A12)</f>
        <v>0</v>
      </c>
      <c r="F12" s="4">
        <f>SUMIFS(Sales_Tax_Detail!$P$4:$P$500,Sales_Tax_Detail!$C$4:$C$500,$A12)</f>
        <v>0</v>
      </c>
      <c r="G12" s="4">
        <f>SUMIFS(Sales_Tax_Detail!$Q$4:$Q$500,Sales_Tax_Detail!$C$4:$C$500,$A12)</f>
        <v>0</v>
      </c>
      <c r="H12" s="4">
        <f>SUMIFS(Sales_Tax_Detail!$R$4:$R$500,Sales_Tax_Detail!$C$4:$C$500,$A12)</f>
        <v>0</v>
      </c>
      <c r="I12" s="4">
        <f>SUMIFS(Sales_Tax_Detail!$S$4:$S$500,Sales_Tax_Detail!$C$4:$C$500,$A12)</f>
        <v>0</v>
      </c>
      <c r="J12" t="str">
        <f t="shared" si="0"/>
        <v>No estimated tax</v>
      </c>
    </row>
    <row r="13" spans="1:10" x14ac:dyDescent="0.3">
      <c r="A13" t="s">
        <v>163</v>
      </c>
      <c r="B13" s="4">
        <f>SUMIFS(Sales_Tax_Detail!$L$4:$L$500,Sales_Tax_Detail!$C$4:$C$500,$A13)</f>
        <v>0</v>
      </c>
      <c r="C13" s="4">
        <f>SUMIFS(Sales_Tax_Detail!$M$4:$M$500,Sales_Tax_Detail!$C$4:$C$500,$A13)</f>
        <v>0</v>
      </c>
      <c r="D13" s="4">
        <f>SUMIFS(Sales_Tax_Detail!$N$4:$N$500,Sales_Tax_Detail!$C$4:$C$500,$A13)</f>
        <v>0</v>
      </c>
      <c r="E13" s="4">
        <f>SUMIFS(Sales_Tax_Detail!$O$4:$O$500,Sales_Tax_Detail!$C$4:$C$500,$A13)</f>
        <v>0</v>
      </c>
      <c r="F13" s="4">
        <f>SUMIFS(Sales_Tax_Detail!$P$4:$P$500,Sales_Tax_Detail!$C$4:$C$500,$A13)</f>
        <v>0</v>
      </c>
      <c r="G13" s="4">
        <f>SUMIFS(Sales_Tax_Detail!$Q$4:$Q$500,Sales_Tax_Detail!$C$4:$C$500,$A13)</f>
        <v>0</v>
      </c>
      <c r="H13" s="4">
        <f>SUMIFS(Sales_Tax_Detail!$R$4:$R$500,Sales_Tax_Detail!$C$4:$C$500,$A13)</f>
        <v>0</v>
      </c>
      <c r="I13" s="4">
        <f>SUMIFS(Sales_Tax_Detail!$S$4:$S$500,Sales_Tax_Detail!$C$4:$C$500,$A13)</f>
        <v>0</v>
      </c>
      <c r="J13" t="str">
        <f t="shared" si="0"/>
        <v>No estimated tax</v>
      </c>
    </row>
    <row r="14" spans="1:10" x14ac:dyDescent="0.3">
      <c r="A14" t="s">
        <v>164</v>
      </c>
      <c r="B14" s="4">
        <f>SUMIFS(Sales_Tax_Detail!$L$4:$L$500,Sales_Tax_Detail!$C$4:$C$500,$A14)</f>
        <v>0</v>
      </c>
      <c r="C14" s="4">
        <f>SUMIFS(Sales_Tax_Detail!$M$4:$M$500,Sales_Tax_Detail!$C$4:$C$500,$A14)</f>
        <v>0</v>
      </c>
      <c r="D14" s="4">
        <f>SUMIFS(Sales_Tax_Detail!$N$4:$N$500,Sales_Tax_Detail!$C$4:$C$500,$A14)</f>
        <v>0</v>
      </c>
      <c r="E14" s="4">
        <f>SUMIFS(Sales_Tax_Detail!$O$4:$O$500,Sales_Tax_Detail!$C$4:$C$500,$A14)</f>
        <v>0</v>
      </c>
      <c r="F14" s="4">
        <f>SUMIFS(Sales_Tax_Detail!$P$4:$P$500,Sales_Tax_Detail!$C$4:$C$500,$A14)</f>
        <v>0</v>
      </c>
      <c r="G14" s="4">
        <f>SUMIFS(Sales_Tax_Detail!$Q$4:$Q$500,Sales_Tax_Detail!$C$4:$C$500,$A14)</f>
        <v>0</v>
      </c>
      <c r="H14" s="4">
        <f>SUMIFS(Sales_Tax_Detail!$R$4:$R$500,Sales_Tax_Detail!$C$4:$C$500,$A14)</f>
        <v>0</v>
      </c>
      <c r="I14" s="4">
        <f>SUMIFS(Sales_Tax_Detail!$S$4:$S$500,Sales_Tax_Detail!$C$4:$C$500,$A14)</f>
        <v>0</v>
      </c>
      <c r="J14" t="str">
        <f t="shared" si="0"/>
        <v>No estimated tax</v>
      </c>
    </row>
    <row r="15" spans="1:10" x14ac:dyDescent="0.3">
      <c r="A15" t="s">
        <v>165</v>
      </c>
      <c r="B15" s="4">
        <f>SUMIFS(Sales_Tax_Detail!$L$4:$L$500,Sales_Tax_Detail!$C$4:$C$500,$A15)</f>
        <v>0</v>
      </c>
      <c r="C15" s="4">
        <f>SUMIFS(Sales_Tax_Detail!$M$4:$M$500,Sales_Tax_Detail!$C$4:$C$500,$A15)</f>
        <v>0</v>
      </c>
      <c r="D15" s="4">
        <f>SUMIFS(Sales_Tax_Detail!$N$4:$N$500,Sales_Tax_Detail!$C$4:$C$500,$A15)</f>
        <v>0</v>
      </c>
      <c r="E15" s="4">
        <f>SUMIFS(Sales_Tax_Detail!$O$4:$O$500,Sales_Tax_Detail!$C$4:$C$500,$A15)</f>
        <v>0</v>
      </c>
      <c r="F15" s="4">
        <f>SUMIFS(Sales_Tax_Detail!$P$4:$P$500,Sales_Tax_Detail!$C$4:$C$500,$A15)</f>
        <v>0</v>
      </c>
      <c r="G15" s="4">
        <f>SUMIFS(Sales_Tax_Detail!$Q$4:$Q$500,Sales_Tax_Detail!$C$4:$C$500,$A15)</f>
        <v>0</v>
      </c>
      <c r="H15" s="4">
        <f>SUMIFS(Sales_Tax_Detail!$R$4:$R$500,Sales_Tax_Detail!$C$4:$C$500,$A15)</f>
        <v>0</v>
      </c>
      <c r="I15" s="4">
        <f>SUMIFS(Sales_Tax_Detail!$S$4:$S$500,Sales_Tax_Detail!$C$4:$C$500,$A15)</f>
        <v>0</v>
      </c>
      <c r="J15" t="str">
        <f t="shared" si="0"/>
        <v>No estimated tax</v>
      </c>
    </row>
    <row r="16" spans="1:10" x14ac:dyDescent="0.3">
      <c r="B16" s="4"/>
      <c r="C16" s="4"/>
      <c r="D16" s="4"/>
      <c r="E16" s="4"/>
      <c r="F16" s="4"/>
      <c r="G16" s="4"/>
      <c r="H16" s="4"/>
      <c r="I16" s="4"/>
    </row>
    <row r="17" spans="1:9" x14ac:dyDescent="0.3">
      <c r="A17" t="s">
        <v>234</v>
      </c>
      <c r="B17" s="4">
        <f t="shared" ref="B17:I17" si="1">SUM(B4:B15)</f>
        <v>2445</v>
      </c>
      <c r="C17" s="4">
        <f t="shared" si="1"/>
        <v>970</v>
      </c>
      <c r="D17" s="4">
        <f t="shared" si="1"/>
        <v>6180</v>
      </c>
      <c r="E17" s="4">
        <f t="shared" si="1"/>
        <v>705</v>
      </c>
      <c r="F17" s="4">
        <f t="shared" si="1"/>
        <v>2126.5492498369213</v>
      </c>
      <c r="G17" s="4">
        <f t="shared" si="1"/>
        <v>106.32746249184605</v>
      </c>
      <c r="H17" s="4">
        <f t="shared" si="1"/>
        <v>212.1232876712329</v>
      </c>
      <c r="I17" s="4">
        <f t="shared" si="1"/>
        <v>318.45075016307896</v>
      </c>
    </row>
    <row r="18" spans="1:9" x14ac:dyDescent="0.3">
      <c r="A18" t="s">
        <v>235</v>
      </c>
      <c r="B18" s="11">
        <f>IFERROR(I17/Formula_Hub!$B$6,0)</f>
        <v>3.091754855952223E-2</v>
      </c>
      <c r="C18" s="4"/>
      <c r="D18" s="4"/>
      <c r="E18" s="4"/>
      <c r="F18" s="4"/>
      <c r="G18" s="4"/>
      <c r="H18" s="4"/>
      <c r="I18" s="4"/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6"/>
  <sheetViews>
    <sheetView topLeftCell="C24" workbookViewId="0">
      <selection activeCell="I38" sqref="I38"/>
    </sheetView>
  </sheetViews>
  <sheetFormatPr defaultRowHeight="13.5" x14ac:dyDescent="0.3"/>
  <cols>
    <col min="1" max="16" width="18" customWidth="1"/>
  </cols>
  <sheetData>
    <row r="1" spans="1:2" ht="17.649999999999999" x14ac:dyDescent="0.4">
      <c r="A1" s="1" t="s">
        <v>236</v>
      </c>
    </row>
    <row r="2" spans="1:2" x14ac:dyDescent="0.3">
      <c r="A2" s="2" t="s">
        <v>237</v>
      </c>
    </row>
    <row r="4" spans="1:2" x14ac:dyDescent="0.3">
      <c r="A4" t="s">
        <v>238</v>
      </c>
      <c r="B4">
        <f>SUM($K$28:$K$39)</f>
        <v>2</v>
      </c>
    </row>
    <row r="5" spans="1:2" x14ac:dyDescent="0.3">
      <c r="A5" t="s">
        <v>126</v>
      </c>
      <c r="B5" s="4">
        <f>SUM($B$28:$B$39)</f>
        <v>12900</v>
      </c>
    </row>
    <row r="6" spans="1:2" x14ac:dyDescent="0.3">
      <c r="A6" t="s">
        <v>239</v>
      </c>
      <c r="B6" s="4">
        <f>SUM($C$28:$C$39)</f>
        <v>10300</v>
      </c>
    </row>
    <row r="7" spans="1:2" x14ac:dyDescent="0.3">
      <c r="A7" t="s">
        <v>240</v>
      </c>
      <c r="B7" s="4">
        <f>IF($B$4=0,0,$B$6/$B$4)</f>
        <v>5150</v>
      </c>
    </row>
    <row r="8" spans="1:2" x14ac:dyDescent="0.3">
      <c r="A8" t="s">
        <v>241</v>
      </c>
      <c r="B8" s="4">
        <f>IF($B$4=0,0,SUM($D$28:$D$39)/$B$4)</f>
        <v>4000</v>
      </c>
    </row>
    <row r="9" spans="1:2" x14ac:dyDescent="0.3">
      <c r="A9" t="s">
        <v>242</v>
      </c>
      <c r="B9" s="4">
        <f>IF($B$4=0,0,SUM($E$28:$E$39)/$B$4)</f>
        <v>1150</v>
      </c>
    </row>
    <row r="10" spans="1:2" x14ac:dyDescent="0.3">
      <c r="A10" t="s">
        <v>243</v>
      </c>
      <c r="B10" s="4">
        <f>IF($B$4=0,0,SUM($F$28:$F$39)/$B$4)</f>
        <v>3167.5</v>
      </c>
    </row>
    <row r="11" spans="1:2" x14ac:dyDescent="0.3">
      <c r="A11" t="s">
        <v>244</v>
      </c>
      <c r="B11" s="4">
        <f>IF($B$4=0,0,SUM($G$28:$G$39)/$B$4)</f>
        <v>1727.5</v>
      </c>
    </row>
    <row r="12" spans="1:2" x14ac:dyDescent="0.3">
      <c r="A12" t="s">
        <v>245</v>
      </c>
      <c r="B12" s="4">
        <f>IF($B$4=0,0,SUM($H$28:$H$39)/$B$4)</f>
        <v>255</v>
      </c>
    </row>
    <row r="13" spans="1:2" x14ac:dyDescent="0.3">
      <c r="A13" t="s">
        <v>246</v>
      </c>
      <c r="B13" s="4">
        <f>IF($B$4=0,0,SUM($I$28:$I$39)/$B$4)</f>
        <v>3000</v>
      </c>
    </row>
    <row r="14" spans="1:2" x14ac:dyDescent="0.3">
      <c r="A14" t="s">
        <v>247</v>
      </c>
      <c r="B14" s="6">
        <f>IFERROR($B$13/$B$7,0)</f>
        <v>0.58252427184466016</v>
      </c>
    </row>
    <row r="15" spans="1:2" x14ac:dyDescent="0.3">
      <c r="A15" t="s">
        <v>248</v>
      </c>
      <c r="B15" s="6">
        <f>IFERROR(($B$5-$B$6)/$B$5,0)</f>
        <v>0.20155038759689922</v>
      </c>
    </row>
    <row r="16" spans="1:2" x14ac:dyDescent="0.3">
      <c r="A16" t="s">
        <v>26</v>
      </c>
      <c r="B16" s="4">
        <f>IFERROR(Input_Settings!$B$5/$B$7,0)</f>
        <v>5.825242718446602</v>
      </c>
    </row>
    <row r="17" spans="1:16" x14ac:dyDescent="0.3">
      <c r="A17" t="s">
        <v>249</v>
      </c>
      <c r="B17" s="4">
        <f>B7*12</f>
        <v>61800</v>
      </c>
    </row>
    <row r="18" spans="1:16" x14ac:dyDescent="0.3">
      <c r="A18" t="s">
        <v>250</v>
      </c>
      <c r="B18" s="4">
        <f>B8*12</f>
        <v>48000</v>
      </c>
    </row>
    <row r="19" spans="1:16" x14ac:dyDescent="0.3">
      <c r="A19" t="s">
        <v>251</v>
      </c>
      <c r="B19" s="4">
        <f>MAX($C$28:$C$39)*12</f>
        <v>63600</v>
      </c>
    </row>
    <row r="20" spans="1:16" x14ac:dyDescent="0.3">
      <c r="A20" t="s">
        <v>252</v>
      </c>
      <c r="B20" s="4">
        <f>MAX($B$7*Input_Settings!$B$8,Input_Settings!$B$9)+Input_Settings!$B$6</f>
        <v>62800</v>
      </c>
    </row>
    <row r="21" spans="1:16" x14ac:dyDescent="0.3">
      <c r="A21" t="s">
        <v>27</v>
      </c>
      <c r="B21" s="4">
        <f>MAX(0,Input_Settings!$B$5-$B$20)</f>
        <v>0</v>
      </c>
    </row>
    <row r="22" spans="1:16" x14ac:dyDescent="0.3">
      <c r="A22" t="s">
        <v>253</v>
      </c>
      <c r="B22" s="4">
        <f>MAX(0,$B$20-Input_Settings!$B$5)</f>
        <v>32800</v>
      </c>
    </row>
    <row r="23" spans="1:16" x14ac:dyDescent="0.3">
      <c r="A23" t="s">
        <v>31</v>
      </c>
      <c r="B23" t="str">
        <f>IF($B$16&gt;=12,"Safe",IF($B$16&gt;=6,"Moderately Safe","Tight"))</f>
        <v>Tight</v>
      </c>
    </row>
    <row r="24" spans="1:16" x14ac:dyDescent="0.3">
      <c r="A24" t="s">
        <v>28</v>
      </c>
      <c r="B24" s="4">
        <f>Sales_Tax_Analysis!$I$17</f>
        <v>318.45075016307896</v>
      </c>
    </row>
    <row r="25" spans="1:16" x14ac:dyDescent="0.3">
      <c r="A25" t="s">
        <v>29</v>
      </c>
      <c r="B25" t="str">
        <f>IF(Sales_Tax_Settings!$B$5="Yes","Enabled","Disabled")</f>
        <v>Enabled</v>
      </c>
    </row>
    <row r="27" spans="1:16" ht="27" x14ac:dyDescent="0.3">
      <c r="A27" s="3" t="s">
        <v>36</v>
      </c>
      <c r="B27" s="3" t="s">
        <v>126</v>
      </c>
      <c r="C27" s="3" t="s">
        <v>38</v>
      </c>
      <c r="D27" s="3" t="s">
        <v>211</v>
      </c>
      <c r="E27" s="3" t="s">
        <v>212</v>
      </c>
      <c r="F27" s="3" t="s">
        <v>213</v>
      </c>
      <c r="G27" s="3" t="s">
        <v>214</v>
      </c>
      <c r="H27" s="3" t="s">
        <v>215</v>
      </c>
      <c r="I27" s="3" t="s">
        <v>216</v>
      </c>
      <c r="J27" s="3" t="s">
        <v>40</v>
      </c>
      <c r="K27" s="3" t="s">
        <v>217</v>
      </c>
      <c r="L27" s="3" t="s">
        <v>218</v>
      </c>
      <c r="M27" s="3" t="s">
        <v>219</v>
      </c>
      <c r="N27" s="3" t="s">
        <v>220</v>
      </c>
      <c r="O27" s="3" t="s">
        <v>39</v>
      </c>
      <c r="P27" s="3"/>
    </row>
    <row r="28" spans="1:16" x14ac:dyDescent="0.3">
      <c r="A28" t="s">
        <v>154</v>
      </c>
      <c r="B28" s="4">
        <f>SUMIFS(Income_Input!$D$4:$D$500,Income_Input!$B$4:$B$500,"&gt;="&amp;DATE(VALUE(LEFT($A28,4)),VALUE(RIGHT($A28,2)),1),Income_Input!$B$4:$B$500,"&lt;"&amp;DATE(VALUE(LEFT($A28,4)),VALUE(RIGHT($A28,2))+1,1))</f>
        <v>6000</v>
      </c>
      <c r="C28" s="4">
        <f>SUMIFS(Expense_Input!$D$4:$D$500,Expense_Input!$B$4:$B$500,"&gt;="&amp;DATE(VALUE(LEFT($A28,4)),VALUE(RIGHT($A28,2)),1),Expense_Input!$B$4:$B$500,"&lt;"&amp;DATE(VALUE(LEFT($A28,4)),VALUE(RIGHT($A28,2))+1,1),Expense_Input!$H$4:$H$500,"Personal Expense")</f>
        <v>5000</v>
      </c>
      <c r="D28" s="4">
        <f>SUMIFS(Expense_Input!$D$4:$D$500,Expense_Input!$B$4:$B$500,"&gt;="&amp;DATE(VALUE(LEFT($A28,4)),VALUE(RIGHT($A28,2)),1),Expense_Input!$B$4:$B$500,"&lt;"&amp;DATE(VALUE(LEFT($A28,4)),VALUE(RIGHT($A28,2))+1,1),Expense_Input!$H$4:$H$500,"Personal Expense",Expense_Input!$G$4:$G$500,"Essential")</f>
        <v>3910</v>
      </c>
      <c r="E28" s="4">
        <f>SUMIFS(Expense_Input!$D$4:$D$500,Expense_Input!$B$4:$B$500,"&gt;="&amp;DATE(VALUE(LEFT($A28,4)),VALUE(RIGHT($A28,2)),1),Expense_Input!$B$4:$B$500,"&lt;"&amp;DATE(VALUE(LEFT($A28,4)),VALUE(RIGHT($A28,2))+1,1),Expense_Input!$H$4:$H$500,"Personal Expense",Expense_Input!$G$4:$G$500,"Discretionary")</f>
        <v>1090</v>
      </c>
      <c r="F28" s="4">
        <f>SUMIFS(Expense_Input!$D$4:$D$500,Expense_Input!$B$4:$B$500,"&gt;="&amp;DATE(VALUE(LEFT($A28,4)),VALUE(RIGHT($A28,2)),1),Expense_Input!$B$4:$B$500,"&lt;"&amp;DATE(VALUE(LEFT($A28,4)),VALUE(RIGHT($A28,2))+1,1),Expense_Input!$H$4:$H$500,"Personal Expense",Expense_Input!$F$4:$F$500,"Fixed")</f>
        <v>3160</v>
      </c>
      <c r="G28" s="4">
        <f>SUMIFS(Expense_Input!$D$4:$D$500,Expense_Input!$B$4:$B$500,"&gt;="&amp;DATE(VALUE(LEFT($A28,4)),VALUE(RIGHT($A28,2)),1),Expense_Input!$B$4:$B$500,"&lt;"&amp;DATE(VALUE(LEFT($A28,4)),VALUE(RIGHT($A28,2))+1,1),Expense_Input!$H$4:$H$500,"Personal Expense",Expense_Input!$F$4:$F$500,"Variable")</f>
        <v>1620</v>
      </c>
      <c r="H28" s="4">
        <f>SUMIFS(Expense_Input!$D$4:$D$500,Expense_Input!$B$4:$B$500,"&gt;="&amp;DATE(VALUE(LEFT($A28,4)),VALUE(RIGHT($A28,2)),1),Expense_Input!$B$4:$B$500,"&lt;"&amp;DATE(VALUE(LEFT($A28,4)),VALUE(RIGHT($A28,2))+1,1),Expense_Input!$H$4:$H$500,"Personal Expense",Expense_Input!$F$4:$F$500,"One-time")</f>
        <v>220</v>
      </c>
      <c r="I28" s="4">
        <f>SUMIFS(Expense_Input!$D$4:$D$500,Expense_Input!$B$4:$B$500,"&gt;="&amp;DATE(VALUE(LEFT($A28,4)),VALUE(RIGHT($A28,2)),1),Expense_Input!$B$4:$B$500,"&lt;"&amp;DATE(VALUE(LEFT($A28,4)),VALUE(RIGHT($A28,2))+1,1),Expense_Input!$H$4:$H$500,"Personal Expense",Expense_Input!$E$4:$E$500,"Housing")</f>
        <v>3000</v>
      </c>
      <c r="J28" s="4">
        <f t="shared" ref="J28:J39" si="0">B28-C28</f>
        <v>1000</v>
      </c>
      <c r="K28" s="4">
        <f t="shared" ref="K28:K39" si="1">IF(C28&gt;0,1,0)</f>
        <v>1</v>
      </c>
      <c r="L28" s="4">
        <f>SUMIFS(Expense_Input!$D$4:$D$500,Expense_Input!$B$4:$B$500,"&gt;="&amp;DATE(VALUE(LEFT($A28,4)),VALUE(RIGHT($A28,2)),1),Expense_Input!$B$4:$B$500,"&lt;"&amp;DATE(VALUE(LEFT($A28,4)),VALUE(RIGHT($A28,2))+1,1),Expense_Input!$H$4:$H$500,"Property Expense")</f>
        <v>0</v>
      </c>
      <c r="M28" s="4">
        <f>SUMIFS(Expense_Input!$D$4:$D$500,Expense_Input!$B$4:$B$500,"&gt;="&amp;DATE(VALUE(LEFT($A28,4)),VALUE(RIGHT($A28,2)),1),Expense_Input!$B$4:$B$500,"&lt;"&amp;DATE(VALUE(LEFT($A28,4)),VALUE(RIGHT($A28,2))+1,1),Expense_Input!$H$4:$H$500,"Investment Transfer")</f>
        <v>0</v>
      </c>
      <c r="N28" s="4">
        <f>SUMIFS(Expense_Input!$D$4:$D$500,Expense_Input!$B$4:$B$500,"&gt;="&amp;DATE(VALUE(LEFT($A28,4)),VALUE(RIGHT($A28,2)),1),Expense_Input!$B$4:$B$500,"&lt;"&amp;DATE(VALUE(LEFT($A28,4)),VALUE(RIGHT($A28,2))+1,1),Expense_Input!$H$4:$H$500,"Internal Transfer")</f>
        <v>0</v>
      </c>
      <c r="O28" s="4">
        <f>SUMIFS(Sales_Tax_Detail!$S$4:$S$500,Sales_Tax_Detail!$C$4:$C$500,$A28)</f>
        <v>148.48010437051533</v>
      </c>
    </row>
    <row r="29" spans="1:16" x14ac:dyDescent="0.3">
      <c r="A29" t="s">
        <v>155</v>
      </c>
      <c r="B29" s="4">
        <f>SUMIFS(Income_Input!$D$4:$D$500,Income_Input!$B$4:$B$500,"&gt;="&amp;DATE(VALUE(LEFT($A29,4)),VALUE(RIGHT($A29,2)),1),Income_Input!$B$4:$B$500,"&lt;"&amp;DATE(VALUE(LEFT($A29,4)),VALUE(RIGHT($A29,2))+1,1))</f>
        <v>6900</v>
      </c>
      <c r="C29" s="4">
        <f>SUMIFS(Expense_Input!$D$4:$D$500,Expense_Input!$B$4:$B$500,"&gt;="&amp;DATE(VALUE(LEFT($A29,4)),VALUE(RIGHT($A29,2)),1),Expense_Input!$B$4:$B$500,"&lt;"&amp;DATE(VALUE(LEFT($A29,4)),VALUE(RIGHT($A29,2))+1,1),Expense_Input!$H$4:$H$500,"Personal Expense")</f>
        <v>5300</v>
      </c>
      <c r="D29" s="4">
        <f>SUMIFS(Expense_Input!$D$4:$D$500,Expense_Input!$B$4:$B$500,"&gt;="&amp;DATE(VALUE(LEFT($A29,4)),VALUE(RIGHT($A29,2)),1),Expense_Input!$B$4:$B$500,"&lt;"&amp;DATE(VALUE(LEFT($A29,4)),VALUE(RIGHT($A29,2))+1,1),Expense_Input!$H$4:$H$500,"Personal Expense",Expense_Input!$G$4:$G$500,"Essential")</f>
        <v>4090</v>
      </c>
      <c r="E29" s="4">
        <f>SUMIFS(Expense_Input!$D$4:$D$500,Expense_Input!$B$4:$B$500,"&gt;="&amp;DATE(VALUE(LEFT($A29,4)),VALUE(RIGHT($A29,2)),1),Expense_Input!$B$4:$B$500,"&lt;"&amp;DATE(VALUE(LEFT($A29,4)),VALUE(RIGHT($A29,2))+1,1),Expense_Input!$H$4:$H$500,"Personal Expense",Expense_Input!$G$4:$G$500,"Discretionary")</f>
        <v>1210</v>
      </c>
      <c r="F29" s="4">
        <f>SUMIFS(Expense_Input!$D$4:$D$500,Expense_Input!$B$4:$B$500,"&gt;="&amp;DATE(VALUE(LEFT($A29,4)),VALUE(RIGHT($A29,2)),1),Expense_Input!$B$4:$B$500,"&lt;"&amp;DATE(VALUE(LEFT($A29,4)),VALUE(RIGHT($A29,2))+1,1),Expense_Input!$H$4:$H$500,"Personal Expense",Expense_Input!$F$4:$F$500,"Fixed")</f>
        <v>3175</v>
      </c>
      <c r="G29" s="4">
        <f>SUMIFS(Expense_Input!$D$4:$D$500,Expense_Input!$B$4:$B$500,"&gt;="&amp;DATE(VALUE(LEFT($A29,4)),VALUE(RIGHT($A29,2)),1),Expense_Input!$B$4:$B$500,"&lt;"&amp;DATE(VALUE(LEFT($A29,4)),VALUE(RIGHT($A29,2))+1,1),Expense_Input!$H$4:$H$500,"Personal Expense",Expense_Input!$F$4:$F$500,"Variable")</f>
        <v>1835</v>
      </c>
      <c r="H29" s="4">
        <f>SUMIFS(Expense_Input!$D$4:$D$500,Expense_Input!$B$4:$B$500,"&gt;="&amp;DATE(VALUE(LEFT($A29,4)),VALUE(RIGHT($A29,2)),1),Expense_Input!$B$4:$B$500,"&lt;"&amp;DATE(VALUE(LEFT($A29,4)),VALUE(RIGHT($A29,2))+1,1),Expense_Input!$H$4:$H$500,"Personal Expense",Expense_Input!$F$4:$F$500,"One-time")</f>
        <v>290</v>
      </c>
      <c r="I29" s="4">
        <f>SUMIFS(Expense_Input!$D$4:$D$500,Expense_Input!$B$4:$B$500,"&gt;="&amp;DATE(VALUE(LEFT($A29,4)),VALUE(RIGHT($A29,2)),1),Expense_Input!$B$4:$B$500,"&lt;"&amp;DATE(VALUE(LEFT($A29,4)),VALUE(RIGHT($A29,2))+1,1),Expense_Input!$H$4:$H$500,"Personal Expense",Expense_Input!$E$4:$E$500,"Housing")</f>
        <v>3000</v>
      </c>
      <c r="J29" s="4">
        <f t="shared" si="0"/>
        <v>1600</v>
      </c>
      <c r="K29" s="4">
        <f t="shared" si="1"/>
        <v>1</v>
      </c>
      <c r="L29" s="4">
        <f>SUMIFS(Expense_Input!$D$4:$D$500,Expense_Input!$B$4:$B$500,"&gt;="&amp;DATE(VALUE(LEFT($A29,4)),VALUE(RIGHT($A29,2)),1),Expense_Input!$B$4:$B$500,"&lt;"&amp;DATE(VALUE(LEFT($A29,4)),VALUE(RIGHT($A29,2))+1,1),Expense_Input!$H$4:$H$500,"Property Expense")</f>
        <v>0</v>
      </c>
      <c r="M29" s="4">
        <f>SUMIFS(Expense_Input!$D$4:$D$500,Expense_Input!$B$4:$B$500,"&gt;="&amp;DATE(VALUE(LEFT($A29,4)),VALUE(RIGHT($A29,2)),1),Expense_Input!$B$4:$B$500,"&lt;"&amp;DATE(VALUE(LEFT($A29,4)),VALUE(RIGHT($A29,2))+1,1),Expense_Input!$H$4:$H$500,"Investment Transfer")</f>
        <v>0</v>
      </c>
      <c r="N29" s="4">
        <f>SUMIFS(Expense_Input!$D$4:$D$500,Expense_Input!$B$4:$B$500,"&gt;="&amp;DATE(VALUE(LEFT($A29,4)),VALUE(RIGHT($A29,2)),1),Expense_Input!$B$4:$B$500,"&lt;"&amp;DATE(VALUE(LEFT($A29,4)),VALUE(RIGHT($A29,2))+1,1),Expense_Input!$H$4:$H$500,"Internal Transfer")</f>
        <v>0</v>
      </c>
      <c r="O29" s="4">
        <f>SUMIFS(Sales_Tax_Detail!$S$4:$S$500,Sales_Tax_Detail!$C$4:$C$500,$A29)</f>
        <v>169.9706457925636</v>
      </c>
    </row>
    <row r="30" spans="1:16" x14ac:dyDescent="0.3">
      <c r="A30" t="s">
        <v>156</v>
      </c>
      <c r="B30" s="4">
        <f>SUMIFS(Income_Input!$D$4:$D$500,Income_Input!$B$4:$B$500,"&gt;="&amp;DATE(VALUE(LEFT($A30,4)),VALUE(RIGHT($A30,2)),1),Income_Input!$B$4:$B$500,"&lt;"&amp;DATE(VALUE(LEFT($A30,4)),VALUE(RIGHT($A30,2))+1,1))</f>
        <v>0</v>
      </c>
      <c r="C30" s="4">
        <f>SUMIFS(Expense_Input!$D$4:$D$500,Expense_Input!$B$4:$B$500,"&gt;="&amp;DATE(VALUE(LEFT($A30,4)),VALUE(RIGHT($A30,2)),1),Expense_Input!$B$4:$B$500,"&lt;"&amp;DATE(VALUE(LEFT($A30,4)),VALUE(RIGHT($A30,2))+1,1),Expense_Input!$H$4:$H$500,"Personal Expense")</f>
        <v>0</v>
      </c>
      <c r="D30" s="4">
        <f>SUMIFS(Expense_Input!$D$4:$D$500,Expense_Input!$B$4:$B$500,"&gt;="&amp;DATE(VALUE(LEFT($A30,4)),VALUE(RIGHT($A30,2)),1),Expense_Input!$B$4:$B$500,"&lt;"&amp;DATE(VALUE(LEFT($A30,4)),VALUE(RIGHT($A30,2))+1,1),Expense_Input!$H$4:$H$500,"Personal Expense",Expense_Input!$G$4:$G$500,"Essential")</f>
        <v>0</v>
      </c>
      <c r="E30" s="4">
        <f>SUMIFS(Expense_Input!$D$4:$D$500,Expense_Input!$B$4:$B$500,"&gt;="&amp;DATE(VALUE(LEFT($A30,4)),VALUE(RIGHT($A30,2)),1),Expense_Input!$B$4:$B$500,"&lt;"&amp;DATE(VALUE(LEFT($A30,4)),VALUE(RIGHT($A30,2))+1,1),Expense_Input!$H$4:$H$500,"Personal Expense",Expense_Input!$G$4:$G$500,"Discretionary")</f>
        <v>0</v>
      </c>
      <c r="F30" s="4">
        <f>SUMIFS(Expense_Input!$D$4:$D$500,Expense_Input!$B$4:$B$500,"&gt;="&amp;DATE(VALUE(LEFT($A30,4)),VALUE(RIGHT($A30,2)),1),Expense_Input!$B$4:$B$500,"&lt;"&amp;DATE(VALUE(LEFT($A30,4)),VALUE(RIGHT($A30,2))+1,1),Expense_Input!$H$4:$H$500,"Personal Expense",Expense_Input!$F$4:$F$500,"Fixed")</f>
        <v>0</v>
      </c>
      <c r="G30" s="4">
        <f>SUMIFS(Expense_Input!$D$4:$D$500,Expense_Input!$B$4:$B$500,"&gt;="&amp;DATE(VALUE(LEFT($A30,4)),VALUE(RIGHT($A30,2)),1),Expense_Input!$B$4:$B$500,"&lt;"&amp;DATE(VALUE(LEFT($A30,4)),VALUE(RIGHT($A30,2))+1,1),Expense_Input!$H$4:$H$500,"Personal Expense",Expense_Input!$F$4:$F$500,"Variable")</f>
        <v>0</v>
      </c>
      <c r="H30" s="4">
        <f>SUMIFS(Expense_Input!$D$4:$D$500,Expense_Input!$B$4:$B$500,"&gt;="&amp;DATE(VALUE(LEFT($A30,4)),VALUE(RIGHT($A30,2)),1),Expense_Input!$B$4:$B$500,"&lt;"&amp;DATE(VALUE(LEFT($A30,4)),VALUE(RIGHT($A30,2))+1,1),Expense_Input!$H$4:$H$500,"Personal Expense",Expense_Input!$F$4:$F$500,"One-time")</f>
        <v>0</v>
      </c>
      <c r="I30" s="4">
        <f>SUMIFS(Expense_Input!$D$4:$D$500,Expense_Input!$B$4:$B$500,"&gt;="&amp;DATE(VALUE(LEFT($A30,4)),VALUE(RIGHT($A30,2)),1),Expense_Input!$B$4:$B$500,"&lt;"&amp;DATE(VALUE(LEFT($A30,4)),VALUE(RIGHT($A30,2))+1,1),Expense_Input!$H$4:$H$500,"Personal Expense",Expense_Input!$E$4:$E$500,"Housing")</f>
        <v>0</v>
      </c>
      <c r="J30" s="4">
        <f t="shared" si="0"/>
        <v>0</v>
      </c>
      <c r="K30" s="4">
        <f t="shared" si="1"/>
        <v>0</v>
      </c>
      <c r="L30" s="4">
        <f>SUMIFS(Expense_Input!$D$4:$D$500,Expense_Input!$B$4:$B$500,"&gt;="&amp;DATE(VALUE(LEFT($A30,4)),VALUE(RIGHT($A30,2)),1),Expense_Input!$B$4:$B$500,"&lt;"&amp;DATE(VALUE(LEFT($A30,4)),VALUE(RIGHT($A30,2))+1,1),Expense_Input!$H$4:$H$500,"Property Expense")</f>
        <v>0</v>
      </c>
      <c r="M30" s="4">
        <f>SUMIFS(Expense_Input!$D$4:$D$500,Expense_Input!$B$4:$B$500,"&gt;="&amp;DATE(VALUE(LEFT($A30,4)),VALUE(RIGHT($A30,2)),1),Expense_Input!$B$4:$B$500,"&lt;"&amp;DATE(VALUE(LEFT($A30,4)),VALUE(RIGHT($A30,2))+1,1),Expense_Input!$H$4:$H$500,"Investment Transfer")</f>
        <v>0</v>
      </c>
      <c r="N30" s="4">
        <f>SUMIFS(Expense_Input!$D$4:$D$500,Expense_Input!$B$4:$B$500,"&gt;="&amp;DATE(VALUE(LEFT($A30,4)),VALUE(RIGHT($A30,2)),1),Expense_Input!$B$4:$B$500,"&lt;"&amp;DATE(VALUE(LEFT($A30,4)),VALUE(RIGHT($A30,2))+1,1),Expense_Input!$H$4:$H$500,"Internal Transfer")</f>
        <v>0</v>
      </c>
      <c r="O30" s="4">
        <f>SUMIFS(Sales_Tax_Detail!$S$4:$S$500,Sales_Tax_Detail!$C$4:$C$500,$A30)</f>
        <v>0</v>
      </c>
    </row>
    <row r="31" spans="1:16" x14ac:dyDescent="0.3">
      <c r="A31" t="s">
        <v>157</v>
      </c>
      <c r="B31" s="4">
        <f>SUMIFS(Income_Input!$D$4:$D$500,Income_Input!$B$4:$B$500,"&gt;="&amp;DATE(VALUE(LEFT($A31,4)),VALUE(RIGHT($A31,2)),1),Income_Input!$B$4:$B$500,"&lt;"&amp;DATE(VALUE(LEFT($A31,4)),VALUE(RIGHT($A31,2))+1,1))</f>
        <v>0</v>
      </c>
      <c r="C31" s="4">
        <f>SUMIFS(Expense_Input!$D$4:$D$500,Expense_Input!$B$4:$B$500,"&gt;="&amp;DATE(VALUE(LEFT($A31,4)),VALUE(RIGHT($A31,2)),1),Expense_Input!$B$4:$B$500,"&lt;"&amp;DATE(VALUE(LEFT($A31,4)),VALUE(RIGHT($A31,2))+1,1),Expense_Input!$H$4:$H$500,"Personal Expense")</f>
        <v>0</v>
      </c>
      <c r="D31" s="4">
        <f>SUMIFS(Expense_Input!$D$4:$D$500,Expense_Input!$B$4:$B$500,"&gt;="&amp;DATE(VALUE(LEFT($A31,4)),VALUE(RIGHT($A31,2)),1),Expense_Input!$B$4:$B$500,"&lt;"&amp;DATE(VALUE(LEFT($A31,4)),VALUE(RIGHT($A31,2))+1,1),Expense_Input!$H$4:$H$500,"Personal Expense",Expense_Input!$G$4:$G$500,"Essential")</f>
        <v>0</v>
      </c>
      <c r="E31" s="4">
        <f>SUMIFS(Expense_Input!$D$4:$D$500,Expense_Input!$B$4:$B$500,"&gt;="&amp;DATE(VALUE(LEFT($A31,4)),VALUE(RIGHT($A31,2)),1),Expense_Input!$B$4:$B$500,"&lt;"&amp;DATE(VALUE(LEFT($A31,4)),VALUE(RIGHT($A31,2))+1,1),Expense_Input!$H$4:$H$500,"Personal Expense",Expense_Input!$G$4:$G$500,"Discretionary")</f>
        <v>0</v>
      </c>
      <c r="F31" s="4">
        <f>SUMIFS(Expense_Input!$D$4:$D$500,Expense_Input!$B$4:$B$500,"&gt;="&amp;DATE(VALUE(LEFT($A31,4)),VALUE(RIGHT($A31,2)),1),Expense_Input!$B$4:$B$500,"&lt;"&amp;DATE(VALUE(LEFT($A31,4)),VALUE(RIGHT($A31,2))+1,1),Expense_Input!$H$4:$H$500,"Personal Expense",Expense_Input!$F$4:$F$500,"Fixed")</f>
        <v>0</v>
      </c>
      <c r="G31" s="4">
        <f>SUMIFS(Expense_Input!$D$4:$D$500,Expense_Input!$B$4:$B$500,"&gt;="&amp;DATE(VALUE(LEFT($A31,4)),VALUE(RIGHT($A31,2)),1),Expense_Input!$B$4:$B$500,"&lt;"&amp;DATE(VALUE(LEFT($A31,4)),VALUE(RIGHT($A31,2))+1,1),Expense_Input!$H$4:$H$500,"Personal Expense",Expense_Input!$F$4:$F$500,"Variable")</f>
        <v>0</v>
      </c>
      <c r="H31" s="4">
        <f>SUMIFS(Expense_Input!$D$4:$D$500,Expense_Input!$B$4:$B$500,"&gt;="&amp;DATE(VALUE(LEFT($A31,4)),VALUE(RIGHT($A31,2)),1),Expense_Input!$B$4:$B$500,"&lt;"&amp;DATE(VALUE(LEFT($A31,4)),VALUE(RIGHT($A31,2))+1,1),Expense_Input!$H$4:$H$500,"Personal Expense",Expense_Input!$F$4:$F$500,"One-time")</f>
        <v>0</v>
      </c>
      <c r="I31" s="4">
        <f>SUMIFS(Expense_Input!$D$4:$D$500,Expense_Input!$B$4:$B$500,"&gt;="&amp;DATE(VALUE(LEFT($A31,4)),VALUE(RIGHT($A31,2)),1),Expense_Input!$B$4:$B$500,"&lt;"&amp;DATE(VALUE(LEFT($A31,4)),VALUE(RIGHT($A31,2))+1,1),Expense_Input!$H$4:$H$500,"Personal Expense",Expense_Input!$E$4:$E$500,"Housing")</f>
        <v>0</v>
      </c>
      <c r="J31" s="4">
        <f t="shared" si="0"/>
        <v>0</v>
      </c>
      <c r="K31" s="4">
        <f t="shared" si="1"/>
        <v>0</v>
      </c>
      <c r="L31" s="4">
        <f>SUMIFS(Expense_Input!$D$4:$D$500,Expense_Input!$B$4:$B$500,"&gt;="&amp;DATE(VALUE(LEFT($A31,4)),VALUE(RIGHT($A31,2)),1),Expense_Input!$B$4:$B$500,"&lt;"&amp;DATE(VALUE(LEFT($A31,4)),VALUE(RIGHT($A31,2))+1,1),Expense_Input!$H$4:$H$500,"Property Expense")</f>
        <v>0</v>
      </c>
      <c r="M31" s="4">
        <f>SUMIFS(Expense_Input!$D$4:$D$500,Expense_Input!$B$4:$B$500,"&gt;="&amp;DATE(VALUE(LEFT($A31,4)),VALUE(RIGHT($A31,2)),1),Expense_Input!$B$4:$B$500,"&lt;"&amp;DATE(VALUE(LEFT($A31,4)),VALUE(RIGHT($A31,2))+1,1),Expense_Input!$H$4:$H$500,"Investment Transfer")</f>
        <v>0</v>
      </c>
      <c r="N31" s="4">
        <f>SUMIFS(Expense_Input!$D$4:$D$500,Expense_Input!$B$4:$B$500,"&gt;="&amp;DATE(VALUE(LEFT($A31,4)),VALUE(RIGHT($A31,2)),1),Expense_Input!$B$4:$B$500,"&lt;"&amp;DATE(VALUE(LEFT($A31,4)),VALUE(RIGHT($A31,2))+1,1),Expense_Input!$H$4:$H$500,"Internal Transfer")</f>
        <v>0</v>
      </c>
      <c r="O31" s="4">
        <f>SUMIFS(Sales_Tax_Detail!$S$4:$S$500,Sales_Tax_Detail!$C$4:$C$500,$A31)</f>
        <v>0</v>
      </c>
    </row>
    <row r="32" spans="1:16" x14ac:dyDescent="0.3">
      <c r="A32" t="s">
        <v>158</v>
      </c>
      <c r="B32" s="4">
        <f>SUMIFS(Income_Input!$D$4:$D$500,Income_Input!$B$4:$B$500,"&gt;="&amp;DATE(VALUE(LEFT($A32,4)),VALUE(RIGHT($A32,2)),1),Income_Input!$B$4:$B$500,"&lt;"&amp;DATE(VALUE(LEFT($A32,4)),VALUE(RIGHT($A32,2))+1,1))</f>
        <v>0</v>
      </c>
      <c r="C32" s="4">
        <f>SUMIFS(Expense_Input!$D$4:$D$500,Expense_Input!$B$4:$B$500,"&gt;="&amp;DATE(VALUE(LEFT($A32,4)),VALUE(RIGHT($A32,2)),1),Expense_Input!$B$4:$B$500,"&lt;"&amp;DATE(VALUE(LEFT($A32,4)),VALUE(RIGHT($A32,2))+1,1),Expense_Input!$H$4:$H$500,"Personal Expense")</f>
        <v>0</v>
      </c>
      <c r="D32" s="4">
        <f>SUMIFS(Expense_Input!$D$4:$D$500,Expense_Input!$B$4:$B$500,"&gt;="&amp;DATE(VALUE(LEFT($A32,4)),VALUE(RIGHT($A32,2)),1),Expense_Input!$B$4:$B$500,"&lt;"&amp;DATE(VALUE(LEFT($A32,4)),VALUE(RIGHT($A32,2))+1,1),Expense_Input!$H$4:$H$500,"Personal Expense",Expense_Input!$G$4:$G$500,"Essential")</f>
        <v>0</v>
      </c>
      <c r="E32" s="4">
        <f>SUMIFS(Expense_Input!$D$4:$D$500,Expense_Input!$B$4:$B$500,"&gt;="&amp;DATE(VALUE(LEFT($A32,4)),VALUE(RIGHT($A32,2)),1),Expense_Input!$B$4:$B$500,"&lt;"&amp;DATE(VALUE(LEFT($A32,4)),VALUE(RIGHT($A32,2))+1,1),Expense_Input!$H$4:$H$500,"Personal Expense",Expense_Input!$G$4:$G$500,"Discretionary")</f>
        <v>0</v>
      </c>
      <c r="F32" s="4">
        <f>SUMIFS(Expense_Input!$D$4:$D$500,Expense_Input!$B$4:$B$500,"&gt;="&amp;DATE(VALUE(LEFT($A32,4)),VALUE(RIGHT($A32,2)),1),Expense_Input!$B$4:$B$500,"&lt;"&amp;DATE(VALUE(LEFT($A32,4)),VALUE(RIGHT($A32,2))+1,1),Expense_Input!$H$4:$H$500,"Personal Expense",Expense_Input!$F$4:$F$500,"Fixed")</f>
        <v>0</v>
      </c>
      <c r="G32" s="4">
        <f>SUMIFS(Expense_Input!$D$4:$D$500,Expense_Input!$B$4:$B$500,"&gt;="&amp;DATE(VALUE(LEFT($A32,4)),VALUE(RIGHT($A32,2)),1),Expense_Input!$B$4:$B$500,"&lt;"&amp;DATE(VALUE(LEFT($A32,4)),VALUE(RIGHT($A32,2))+1,1),Expense_Input!$H$4:$H$500,"Personal Expense",Expense_Input!$F$4:$F$500,"Variable")</f>
        <v>0</v>
      </c>
      <c r="H32" s="4">
        <f>SUMIFS(Expense_Input!$D$4:$D$500,Expense_Input!$B$4:$B$500,"&gt;="&amp;DATE(VALUE(LEFT($A32,4)),VALUE(RIGHT($A32,2)),1),Expense_Input!$B$4:$B$500,"&lt;"&amp;DATE(VALUE(LEFT($A32,4)),VALUE(RIGHT($A32,2))+1,1),Expense_Input!$H$4:$H$500,"Personal Expense",Expense_Input!$F$4:$F$500,"One-time")</f>
        <v>0</v>
      </c>
      <c r="I32" s="4">
        <f>SUMIFS(Expense_Input!$D$4:$D$500,Expense_Input!$B$4:$B$500,"&gt;="&amp;DATE(VALUE(LEFT($A32,4)),VALUE(RIGHT($A32,2)),1),Expense_Input!$B$4:$B$500,"&lt;"&amp;DATE(VALUE(LEFT($A32,4)),VALUE(RIGHT($A32,2))+1,1),Expense_Input!$H$4:$H$500,"Personal Expense",Expense_Input!$E$4:$E$500,"Housing")</f>
        <v>0</v>
      </c>
      <c r="J32" s="4">
        <f t="shared" si="0"/>
        <v>0</v>
      </c>
      <c r="K32" s="4">
        <f t="shared" si="1"/>
        <v>0</v>
      </c>
      <c r="L32" s="4">
        <f>SUMIFS(Expense_Input!$D$4:$D$500,Expense_Input!$B$4:$B$500,"&gt;="&amp;DATE(VALUE(LEFT($A32,4)),VALUE(RIGHT($A32,2)),1),Expense_Input!$B$4:$B$500,"&lt;"&amp;DATE(VALUE(LEFT($A32,4)),VALUE(RIGHT($A32,2))+1,1),Expense_Input!$H$4:$H$500,"Property Expense")</f>
        <v>0</v>
      </c>
      <c r="M32" s="4">
        <f>SUMIFS(Expense_Input!$D$4:$D$500,Expense_Input!$B$4:$B$500,"&gt;="&amp;DATE(VALUE(LEFT($A32,4)),VALUE(RIGHT($A32,2)),1),Expense_Input!$B$4:$B$500,"&lt;"&amp;DATE(VALUE(LEFT($A32,4)),VALUE(RIGHT($A32,2))+1,1),Expense_Input!$H$4:$H$500,"Investment Transfer")</f>
        <v>0</v>
      </c>
      <c r="N32" s="4">
        <f>SUMIFS(Expense_Input!$D$4:$D$500,Expense_Input!$B$4:$B$500,"&gt;="&amp;DATE(VALUE(LEFT($A32,4)),VALUE(RIGHT($A32,2)),1),Expense_Input!$B$4:$B$500,"&lt;"&amp;DATE(VALUE(LEFT($A32,4)),VALUE(RIGHT($A32,2))+1,1),Expense_Input!$H$4:$H$500,"Internal Transfer")</f>
        <v>0</v>
      </c>
      <c r="O32" s="4">
        <f>SUMIFS(Sales_Tax_Detail!$S$4:$S$500,Sales_Tax_Detail!$C$4:$C$500,$A32)</f>
        <v>0</v>
      </c>
    </row>
    <row r="33" spans="1:16" x14ac:dyDescent="0.3">
      <c r="A33" t="s">
        <v>159</v>
      </c>
      <c r="B33" s="4">
        <f>SUMIFS(Income_Input!$D$4:$D$500,Income_Input!$B$4:$B$500,"&gt;="&amp;DATE(VALUE(LEFT($A33,4)),VALUE(RIGHT($A33,2)),1),Income_Input!$B$4:$B$500,"&lt;"&amp;DATE(VALUE(LEFT($A33,4)),VALUE(RIGHT($A33,2))+1,1))</f>
        <v>0</v>
      </c>
      <c r="C33" s="4">
        <f>SUMIFS(Expense_Input!$D$4:$D$500,Expense_Input!$B$4:$B$500,"&gt;="&amp;DATE(VALUE(LEFT($A33,4)),VALUE(RIGHT($A33,2)),1),Expense_Input!$B$4:$B$500,"&lt;"&amp;DATE(VALUE(LEFT($A33,4)),VALUE(RIGHT($A33,2))+1,1),Expense_Input!$H$4:$H$500,"Personal Expense")</f>
        <v>0</v>
      </c>
      <c r="D33" s="4">
        <f>SUMIFS(Expense_Input!$D$4:$D$500,Expense_Input!$B$4:$B$500,"&gt;="&amp;DATE(VALUE(LEFT($A33,4)),VALUE(RIGHT($A33,2)),1),Expense_Input!$B$4:$B$500,"&lt;"&amp;DATE(VALUE(LEFT($A33,4)),VALUE(RIGHT($A33,2))+1,1),Expense_Input!$H$4:$H$500,"Personal Expense",Expense_Input!$G$4:$G$500,"Essential")</f>
        <v>0</v>
      </c>
      <c r="E33" s="4">
        <f>SUMIFS(Expense_Input!$D$4:$D$500,Expense_Input!$B$4:$B$500,"&gt;="&amp;DATE(VALUE(LEFT($A33,4)),VALUE(RIGHT($A33,2)),1),Expense_Input!$B$4:$B$500,"&lt;"&amp;DATE(VALUE(LEFT($A33,4)),VALUE(RIGHT($A33,2))+1,1),Expense_Input!$H$4:$H$500,"Personal Expense",Expense_Input!$G$4:$G$500,"Discretionary")</f>
        <v>0</v>
      </c>
      <c r="F33" s="4">
        <f>SUMIFS(Expense_Input!$D$4:$D$500,Expense_Input!$B$4:$B$500,"&gt;="&amp;DATE(VALUE(LEFT($A33,4)),VALUE(RIGHT($A33,2)),1),Expense_Input!$B$4:$B$500,"&lt;"&amp;DATE(VALUE(LEFT($A33,4)),VALUE(RIGHT($A33,2))+1,1),Expense_Input!$H$4:$H$500,"Personal Expense",Expense_Input!$F$4:$F$500,"Fixed")</f>
        <v>0</v>
      </c>
      <c r="G33" s="4">
        <f>SUMIFS(Expense_Input!$D$4:$D$500,Expense_Input!$B$4:$B$500,"&gt;="&amp;DATE(VALUE(LEFT($A33,4)),VALUE(RIGHT($A33,2)),1),Expense_Input!$B$4:$B$500,"&lt;"&amp;DATE(VALUE(LEFT($A33,4)),VALUE(RIGHT($A33,2))+1,1),Expense_Input!$H$4:$H$500,"Personal Expense",Expense_Input!$F$4:$F$500,"Variable")</f>
        <v>0</v>
      </c>
      <c r="H33" s="4">
        <f>SUMIFS(Expense_Input!$D$4:$D$500,Expense_Input!$B$4:$B$500,"&gt;="&amp;DATE(VALUE(LEFT($A33,4)),VALUE(RIGHT($A33,2)),1),Expense_Input!$B$4:$B$500,"&lt;"&amp;DATE(VALUE(LEFT($A33,4)),VALUE(RIGHT($A33,2))+1,1),Expense_Input!$H$4:$H$500,"Personal Expense",Expense_Input!$F$4:$F$500,"One-time")</f>
        <v>0</v>
      </c>
      <c r="I33" s="4">
        <f>SUMIFS(Expense_Input!$D$4:$D$500,Expense_Input!$B$4:$B$500,"&gt;="&amp;DATE(VALUE(LEFT($A33,4)),VALUE(RIGHT($A33,2)),1),Expense_Input!$B$4:$B$500,"&lt;"&amp;DATE(VALUE(LEFT($A33,4)),VALUE(RIGHT($A33,2))+1,1),Expense_Input!$H$4:$H$500,"Personal Expense",Expense_Input!$E$4:$E$500,"Housing")</f>
        <v>0</v>
      </c>
      <c r="J33" s="4">
        <f t="shared" si="0"/>
        <v>0</v>
      </c>
      <c r="K33" s="4">
        <f t="shared" si="1"/>
        <v>0</v>
      </c>
      <c r="L33" s="4">
        <f>SUMIFS(Expense_Input!$D$4:$D$500,Expense_Input!$B$4:$B$500,"&gt;="&amp;DATE(VALUE(LEFT($A33,4)),VALUE(RIGHT($A33,2)),1),Expense_Input!$B$4:$B$500,"&lt;"&amp;DATE(VALUE(LEFT($A33,4)),VALUE(RIGHT($A33,2))+1,1),Expense_Input!$H$4:$H$500,"Property Expense")</f>
        <v>0</v>
      </c>
      <c r="M33" s="4">
        <f>SUMIFS(Expense_Input!$D$4:$D$500,Expense_Input!$B$4:$B$500,"&gt;="&amp;DATE(VALUE(LEFT($A33,4)),VALUE(RIGHT($A33,2)),1),Expense_Input!$B$4:$B$500,"&lt;"&amp;DATE(VALUE(LEFT($A33,4)),VALUE(RIGHT($A33,2))+1,1),Expense_Input!$H$4:$H$500,"Investment Transfer")</f>
        <v>0</v>
      </c>
      <c r="N33" s="4">
        <f>SUMIFS(Expense_Input!$D$4:$D$500,Expense_Input!$B$4:$B$500,"&gt;="&amp;DATE(VALUE(LEFT($A33,4)),VALUE(RIGHT($A33,2)),1),Expense_Input!$B$4:$B$500,"&lt;"&amp;DATE(VALUE(LEFT($A33,4)),VALUE(RIGHT($A33,2))+1,1),Expense_Input!$H$4:$H$500,"Internal Transfer")</f>
        <v>0</v>
      </c>
      <c r="O33" s="4">
        <f>SUMIFS(Sales_Tax_Detail!$S$4:$S$500,Sales_Tax_Detail!$C$4:$C$500,$A33)</f>
        <v>0</v>
      </c>
    </row>
    <row r="34" spans="1:16" x14ac:dyDescent="0.3">
      <c r="A34" t="s">
        <v>160</v>
      </c>
      <c r="B34" s="4">
        <f>SUMIFS(Income_Input!$D$4:$D$500,Income_Input!$B$4:$B$500,"&gt;="&amp;DATE(VALUE(LEFT($A34,4)),VALUE(RIGHT($A34,2)),1),Income_Input!$B$4:$B$500,"&lt;"&amp;DATE(VALUE(LEFT($A34,4)),VALUE(RIGHT($A34,2))+1,1))</f>
        <v>0</v>
      </c>
      <c r="C34" s="4">
        <f>SUMIFS(Expense_Input!$D$4:$D$500,Expense_Input!$B$4:$B$500,"&gt;="&amp;DATE(VALUE(LEFT($A34,4)),VALUE(RIGHT($A34,2)),1),Expense_Input!$B$4:$B$500,"&lt;"&amp;DATE(VALUE(LEFT($A34,4)),VALUE(RIGHT($A34,2))+1,1),Expense_Input!$H$4:$H$500,"Personal Expense")</f>
        <v>0</v>
      </c>
      <c r="D34" s="4">
        <f>SUMIFS(Expense_Input!$D$4:$D$500,Expense_Input!$B$4:$B$500,"&gt;="&amp;DATE(VALUE(LEFT($A34,4)),VALUE(RIGHT($A34,2)),1),Expense_Input!$B$4:$B$500,"&lt;"&amp;DATE(VALUE(LEFT($A34,4)),VALUE(RIGHT($A34,2))+1,1),Expense_Input!$H$4:$H$500,"Personal Expense",Expense_Input!$G$4:$G$500,"Essential")</f>
        <v>0</v>
      </c>
      <c r="E34" s="4">
        <f>SUMIFS(Expense_Input!$D$4:$D$500,Expense_Input!$B$4:$B$500,"&gt;="&amp;DATE(VALUE(LEFT($A34,4)),VALUE(RIGHT($A34,2)),1),Expense_Input!$B$4:$B$500,"&lt;"&amp;DATE(VALUE(LEFT($A34,4)),VALUE(RIGHT($A34,2))+1,1),Expense_Input!$H$4:$H$500,"Personal Expense",Expense_Input!$G$4:$G$500,"Discretionary")</f>
        <v>0</v>
      </c>
      <c r="F34" s="4">
        <f>SUMIFS(Expense_Input!$D$4:$D$500,Expense_Input!$B$4:$B$500,"&gt;="&amp;DATE(VALUE(LEFT($A34,4)),VALUE(RIGHT($A34,2)),1),Expense_Input!$B$4:$B$500,"&lt;"&amp;DATE(VALUE(LEFT($A34,4)),VALUE(RIGHT($A34,2))+1,1),Expense_Input!$H$4:$H$500,"Personal Expense",Expense_Input!$F$4:$F$500,"Fixed")</f>
        <v>0</v>
      </c>
      <c r="G34" s="4">
        <f>SUMIFS(Expense_Input!$D$4:$D$500,Expense_Input!$B$4:$B$500,"&gt;="&amp;DATE(VALUE(LEFT($A34,4)),VALUE(RIGHT($A34,2)),1),Expense_Input!$B$4:$B$500,"&lt;"&amp;DATE(VALUE(LEFT($A34,4)),VALUE(RIGHT($A34,2))+1,1),Expense_Input!$H$4:$H$500,"Personal Expense",Expense_Input!$F$4:$F$500,"Variable")</f>
        <v>0</v>
      </c>
      <c r="H34" s="4">
        <f>SUMIFS(Expense_Input!$D$4:$D$500,Expense_Input!$B$4:$B$500,"&gt;="&amp;DATE(VALUE(LEFT($A34,4)),VALUE(RIGHT($A34,2)),1),Expense_Input!$B$4:$B$500,"&lt;"&amp;DATE(VALUE(LEFT($A34,4)),VALUE(RIGHT($A34,2))+1,1),Expense_Input!$H$4:$H$500,"Personal Expense",Expense_Input!$F$4:$F$500,"One-time")</f>
        <v>0</v>
      </c>
      <c r="I34" s="4">
        <f>SUMIFS(Expense_Input!$D$4:$D$500,Expense_Input!$B$4:$B$500,"&gt;="&amp;DATE(VALUE(LEFT($A34,4)),VALUE(RIGHT($A34,2)),1),Expense_Input!$B$4:$B$500,"&lt;"&amp;DATE(VALUE(LEFT($A34,4)),VALUE(RIGHT($A34,2))+1,1),Expense_Input!$H$4:$H$500,"Personal Expense",Expense_Input!$E$4:$E$500,"Housing")</f>
        <v>0</v>
      </c>
      <c r="J34" s="4">
        <f t="shared" si="0"/>
        <v>0</v>
      </c>
      <c r="K34" s="4">
        <f t="shared" si="1"/>
        <v>0</v>
      </c>
      <c r="L34" s="4">
        <f>SUMIFS(Expense_Input!$D$4:$D$500,Expense_Input!$B$4:$B$500,"&gt;="&amp;DATE(VALUE(LEFT($A34,4)),VALUE(RIGHT($A34,2)),1),Expense_Input!$B$4:$B$500,"&lt;"&amp;DATE(VALUE(LEFT($A34,4)),VALUE(RIGHT($A34,2))+1,1),Expense_Input!$H$4:$H$500,"Property Expense")</f>
        <v>0</v>
      </c>
      <c r="M34" s="4">
        <f>SUMIFS(Expense_Input!$D$4:$D$500,Expense_Input!$B$4:$B$500,"&gt;="&amp;DATE(VALUE(LEFT($A34,4)),VALUE(RIGHT($A34,2)),1),Expense_Input!$B$4:$B$500,"&lt;"&amp;DATE(VALUE(LEFT($A34,4)),VALUE(RIGHT($A34,2))+1,1),Expense_Input!$H$4:$H$500,"Investment Transfer")</f>
        <v>0</v>
      </c>
      <c r="N34" s="4">
        <f>SUMIFS(Expense_Input!$D$4:$D$500,Expense_Input!$B$4:$B$500,"&gt;="&amp;DATE(VALUE(LEFT($A34,4)),VALUE(RIGHT($A34,2)),1),Expense_Input!$B$4:$B$500,"&lt;"&amp;DATE(VALUE(LEFT($A34,4)),VALUE(RIGHT($A34,2))+1,1),Expense_Input!$H$4:$H$500,"Internal Transfer")</f>
        <v>0</v>
      </c>
      <c r="O34" s="4">
        <f>SUMIFS(Sales_Tax_Detail!$S$4:$S$500,Sales_Tax_Detail!$C$4:$C$500,$A34)</f>
        <v>0</v>
      </c>
    </row>
    <row r="35" spans="1:16" x14ac:dyDescent="0.3">
      <c r="A35" t="s">
        <v>161</v>
      </c>
      <c r="B35" s="4">
        <f>SUMIFS(Income_Input!$D$4:$D$500,Income_Input!$B$4:$B$500,"&gt;="&amp;DATE(VALUE(LEFT($A35,4)),VALUE(RIGHT($A35,2)),1),Income_Input!$B$4:$B$500,"&lt;"&amp;DATE(VALUE(LEFT($A35,4)),VALUE(RIGHT($A35,2))+1,1))</f>
        <v>0</v>
      </c>
      <c r="C35" s="4">
        <f>SUMIFS(Expense_Input!$D$4:$D$500,Expense_Input!$B$4:$B$500,"&gt;="&amp;DATE(VALUE(LEFT($A35,4)),VALUE(RIGHT($A35,2)),1),Expense_Input!$B$4:$B$500,"&lt;"&amp;DATE(VALUE(LEFT($A35,4)),VALUE(RIGHT($A35,2))+1,1),Expense_Input!$H$4:$H$500,"Personal Expense")</f>
        <v>0</v>
      </c>
      <c r="D35" s="4">
        <f>SUMIFS(Expense_Input!$D$4:$D$500,Expense_Input!$B$4:$B$500,"&gt;="&amp;DATE(VALUE(LEFT($A35,4)),VALUE(RIGHT($A35,2)),1),Expense_Input!$B$4:$B$500,"&lt;"&amp;DATE(VALUE(LEFT($A35,4)),VALUE(RIGHT($A35,2))+1,1),Expense_Input!$H$4:$H$500,"Personal Expense",Expense_Input!$G$4:$G$500,"Essential")</f>
        <v>0</v>
      </c>
      <c r="E35" s="4">
        <f>SUMIFS(Expense_Input!$D$4:$D$500,Expense_Input!$B$4:$B$500,"&gt;="&amp;DATE(VALUE(LEFT($A35,4)),VALUE(RIGHT($A35,2)),1),Expense_Input!$B$4:$B$500,"&lt;"&amp;DATE(VALUE(LEFT($A35,4)),VALUE(RIGHT($A35,2))+1,1),Expense_Input!$H$4:$H$500,"Personal Expense",Expense_Input!$G$4:$G$500,"Discretionary")</f>
        <v>0</v>
      </c>
      <c r="F35" s="4">
        <f>SUMIFS(Expense_Input!$D$4:$D$500,Expense_Input!$B$4:$B$500,"&gt;="&amp;DATE(VALUE(LEFT($A35,4)),VALUE(RIGHT($A35,2)),1),Expense_Input!$B$4:$B$500,"&lt;"&amp;DATE(VALUE(LEFT($A35,4)),VALUE(RIGHT($A35,2))+1,1),Expense_Input!$H$4:$H$500,"Personal Expense",Expense_Input!$F$4:$F$500,"Fixed")</f>
        <v>0</v>
      </c>
      <c r="G35" s="4">
        <f>SUMIFS(Expense_Input!$D$4:$D$500,Expense_Input!$B$4:$B$500,"&gt;="&amp;DATE(VALUE(LEFT($A35,4)),VALUE(RIGHT($A35,2)),1),Expense_Input!$B$4:$B$500,"&lt;"&amp;DATE(VALUE(LEFT($A35,4)),VALUE(RIGHT($A35,2))+1,1),Expense_Input!$H$4:$H$500,"Personal Expense",Expense_Input!$F$4:$F$500,"Variable")</f>
        <v>0</v>
      </c>
      <c r="H35" s="4">
        <f>SUMIFS(Expense_Input!$D$4:$D$500,Expense_Input!$B$4:$B$500,"&gt;="&amp;DATE(VALUE(LEFT($A35,4)),VALUE(RIGHT($A35,2)),1),Expense_Input!$B$4:$B$500,"&lt;"&amp;DATE(VALUE(LEFT($A35,4)),VALUE(RIGHT($A35,2))+1,1),Expense_Input!$H$4:$H$500,"Personal Expense",Expense_Input!$F$4:$F$500,"One-time")</f>
        <v>0</v>
      </c>
      <c r="I35" s="4">
        <f>SUMIFS(Expense_Input!$D$4:$D$500,Expense_Input!$B$4:$B$500,"&gt;="&amp;DATE(VALUE(LEFT($A35,4)),VALUE(RIGHT($A35,2)),1),Expense_Input!$B$4:$B$500,"&lt;"&amp;DATE(VALUE(LEFT($A35,4)),VALUE(RIGHT($A35,2))+1,1),Expense_Input!$H$4:$H$500,"Personal Expense",Expense_Input!$E$4:$E$500,"Housing")</f>
        <v>0</v>
      </c>
      <c r="J35" s="4">
        <f t="shared" si="0"/>
        <v>0</v>
      </c>
      <c r="K35" s="4">
        <f t="shared" si="1"/>
        <v>0</v>
      </c>
      <c r="L35" s="4">
        <f>SUMIFS(Expense_Input!$D$4:$D$500,Expense_Input!$B$4:$B$500,"&gt;="&amp;DATE(VALUE(LEFT($A35,4)),VALUE(RIGHT($A35,2)),1),Expense_Input!$B$4:$B$500,"&lt;"&amp;DATE(VALUE(LEFT($A35,4)),VALUE(RIGHT($A35,2))+1,1),Expense_Input!$H$4:$H$500,"Property Expense")</f>
        <v>0</v>
      </c>
      <c r="M35" s="4">
        <f>SUMIFS(Expense_Input!$D$4:$D$500,Expense_Input!$B$4:$B$500,"&gt;="&amp;DATE(VALUE(LEFT($A35,4)),VALUE(RIGHT($A35,2)),1),Expense_Input!$B$4:$B$500,"&lt;"&amp;DATE(VALUE(LEFT($A35,4)),VALUE(RIGHT($A35,2))+1,1),Expense_Input!$H$4:$H$500,"Investment Transfer")</f>
        <v>0</v>
      </c>
      <c r="N35" s="4">
        <f>SUMIFS(Expense_Input!$D$4:$D$500,Expense_Input!$B$4:$B$500,"&gt;="&amp;DATE(VALUE(LEFT($A35,4)),VALUE(RIGHT($A35,2)),1),Expense_Input!$B$4:$B$500,"&lt;"&amp;DATE(VALUE(LEFT($A35,4)),VALUE(RIGHT($A35,2))+1,1),Expense_Input!$H$4:$H$500,"Internal Transfer")</f>
        <v>0</v>
      </c>
      <c r="O35" s="4">
        <f>SUMIFS(Sales_Tax_Detail!$S$4:$S$500,Sales_Tax_Detail!$C$4:$C$500,$A35)</f>
        <v>0</v>
      </c>
    </row>
    <row r="36" spans="1:16" x14ac:dyDescent="0.3">
      <c r="A36" t="s">
        <v>162</v>
      </c>
      <c r="B36" s="4">
        <f>SUMIFS(Income_Input!$D$4:$D$500,Income_Input!$B$4:$B$500,"&gt;="&amp;DATE(VALUE(LEFT($A36,4)),VALUE(RIGHT($A36,2)),1),Income_Input!$B$4:$B$500,"&lt;"&amp;DATE(VALUE(LEFT($A36,4)),VALUE(RIGHT($A36,2))+1,1))</f>
        <v>0</v>
      </c>
      <c r="C36" s="4">
        <f>SUMIFS(Expense_Input!$D$4:$D$500,Expense_Input!$B$4:$B$500,"&gt;="&amp;DATE(VALUE(LEFT($A36,4)),VALUE(RIGHT($A36,2)),1),Expense_Input!$B$4:$B$500,"&lt;"&amp;DATE(VALUE(LEFT($A36,4)),VALUE(RIGHT($A36,2))+1,1),Expense_Input!$H$4:$H$500,"Personal Expense")</f>
        <v>0</v>
      </c>
      <c r="D36" s="4">
        <f>SUMIFS(Expense_Input!$D$4:$D$500,Expense_Input!$B$4:$B$500,"&gt;="&amp;DATE(VALUE(LEFT($A36,4)),VALUE(RIGHT($A36,2)),1),Expense_Input!$B$4:$B$500,"&lt;"&amp;DATE(VALUE(LEFT($A36,4)),VALUE(RIGHT($A36,2))+1,1),Expense_Input!$H$4:$H$500,"Personal Expense",Expense_Input!$G$4:$G$500,"Essential")</f>
        <v>0</v>
      </c>
      <c r="E36" s="4">
        <f>SUMIFS(Expense_Input!$D$4:$D$500,Expense_Input!$B$4:$B$500,"&gt;="&amp;DATE(VALUE(LEFT($A36,4)),VALUE(RIGHT($A36,2)),1),Expense_Input!$B$4:$B$500,"&lt;"&amp;DATE(VALUE(LEFT($A36,4)),VALUE(RIGHT($A36,2))+1,1),Expense_Input!$H$4:$H$500,"Personal Expense",Expense_Input!$G$4:$G$500,"Discretionary")</f>
        <v>0</v>
      </c>
      <c r="F36" s="4">
        <f>SUMIFS(Expense_Input!$D$4:$D$500,Expense_Input!$B$4:$B$500,"&gt;="&amp;DATE(VALUE(LEFT($A36,4)),VALUE(RIGHT($A36,2)),1),Expense_Input!$B$4:$B$500,"&lt;"&amp;DATE(VALUE(LEFT($A36,4)),VALUE(RIGHT($A36,2))+1,1),Expense_Input!$H$4:$H$500,"Personal Expense",Expense_Input!$F$4:$F$500,"Fixed")</f>
        <v>0</v>
      </c>
      <c r="G36" s="4">
        <f>SUMIFS(Expense_Input!$D$4:$D$500,Expense_Input!$B$4:$B$500,"&gt;="&amp;DATE(VALUE(LEFT($A36,4)),VALUE(RIGHT($A36,2)),1),Expense_Input!$B$4:$B$500,"&lt;"&amp;DATE(VALUE(LEFT($A36,4)),VALUE(RIGHT($A36,2))+1,1),Expense_Input!$H$4:$H$500,"Personal Expense",Expense_Input!$F$4:$F$500,"Variable")</f>
        <v>0</v>
      </c>
      <c r="H36" s="4">
        <f>SUMIFS(Expense_Input!$D$4:$D$500,Expense_Input!$B$4:$B$500,"&gt;="&amp;DATE(VALUE(LEFT($A36,4)),VALUE(RIGHT($A36,2)),1),Expense_Input!$B$4:$B$500,"&lt;"&amp;DATE(VALUE(LEFT($A36,4)),VALUE(RIGHT($A36,2))+1,1),Expense_Input!$H$4:$H$500,"Personal Expense",Expense_Input!$F$4:$F$500,"One-time")</f>
        <v>0</v>
      </c>
      <c r="I36" s="4">
        <f>SUMIFS(Expense_Input!$D$4:$D$500,Expense_Input!$B$4:$B$500,"&gt;="&amp;DATE(VALUE(LEFT($A36,4)),VALUE(RIGHT($A36,2)),1),Expense_Input!$B$4:$B$500,"&lt;"&amp;DATE(VALUE(LEFT($A36,4)),VALUE(RIGHT($A36,2))+1,1),Expense_Input!$H$4:$H$500,"Personal Expense",Expense_Input!$E$4:$E$500,"Housing")</f>
        <v>0</v>
      </c>
      <c r="J36" s="4">
        <f t="shared" si="0"/>
        <v>0</v>
      </c>
      <c r="K36" s="4">
        <f t="shared" si="1"/>
        <v>0</v>
      </c>
      <c r="L36" s="4">
        <f>SUMIFS(Expense_Input!$D$4:$D$500,Expense_Input!$B$4:$B$500,"&gt;="&amp;DATE(VALUE(LEFT($A36,4)),VALUE(RIGHT($A36,2)),1),Expense_Input!$B$4:$B$500,"&lt;"&amp;DATE(VALUE(LEFT($A36,4)),VALUE(RIGHT($A36,2))+1,1),Expense_Input!$H$4:$H$500,"Property Expense")</f>
        <v>0</v>
      </c>
      <c r="M36" s="4">
        <f>SUMIFS(Expense_Input!$D$4:$D$500,Expense_Input!$B$4:$B$500,"&gt;="&amp;DATE(VALUE(LEFT($A36,4)),VALUE(RIGHT($A36,2)),1),Expense_Input!$B$4:$B$500,"&lt;"&amp;DATE(VALUE(LEFT($A36,4)),VALUE(RIGHT($A36,2))+1,1),Expense_Input!$H$4:$H$500,"Investment Transfer")</f>
        <v>0</v>
      </c>
      <c r="N36" s="4">
        <f>SUMIFS(Expense_Input!$D$4:$D$500,Expense_Input!$B$4:$B$500,"&gt;="&amp;DATE(VALUE(LEFT($A36,4)),VALUE(RIGHT($A36,2)),1),Expense_Input!$B$4:$B$500,"&lt;"&amp;DATE(VALUE(LEFT($A36,4)),VALUE(RIGHT($A36,2))+1,1),Expense_Input!$H$4:$H$500,"Internal Transfer")</f>
        <v>0</v>
      </c>
      <c r="O36" s="4">
        <f>SUMIFS(Sales_Tax_Detail!$S$4:$S$500,Sales_Tax_Detail!$C$4:$C$500,$A36)</f>
        <v>0</v>
      </c>
    </row>
    <row r="37" spans="1:16" x14ac:dyDescent="0.3">
      <c r="A37" t="s">
        <v>163</v>
      </c>
      <c r="B37" s="4">
        <f>SUMIFS(Income_Input!$D$4:$D$500,Income_Input!$B$4:$B$500,"&gt;="&amp;DATE(VALUE(LEFT($A37,4)),VALUE(RIGHT($A37,2)),1),Income_Input!$B$4:$B$500,"&lt;"&amp;DATE(VALUE(LEFT($A37,4)),VALUE(RIGHT($A37,2))+1,1))</f>
        <v>0</v>
      </c>
      <c r="C37" s="4">
        <f>SUMIFS(Expense_Input!$D$4:$D$500,Expense_Input!$B$4:$B$500,"&gt;="&amp;DATE(VALUE(LEFT($A37,4)),VALUE(RIGHT($A37,2)),1),Expense_Input!$B$4:$B$500,"&lt;"&amp;DATE(VALUE(LEFT($A37,4)),VALUE(RIGHT($A37,2))+1,1),Expense_Input!$H$4:$H$500,"Personal Expense")</f>
        <v>0</v>
      </c>
      <c r="D37" s="4">
        <f>SUMIFS(Expense_Input!$D$4:$D$500,Expense_Input!$B$4:$B$500,"&gt;="&amp;DATE(VALUE(LEFT($A37,4)),VALUE(RIGHT($A37,2)),1),Expense_Input!$B$4:$B$500,"&lt;"&amp;DATE(VALUE(LEFT($A37,4)),VALUE(RIGHT($A37,2))+1,1),Expense_Input!$H$4:$H$500,"Personal Expense",Expense_Input!$G$4:$G$500,"Essential")</f>
        <v>0</v>
      </c>
      <c r="E37" s="4">
        <f>SUMIFS(Expense_Input!$D$4:$D$500,Expense_Input!$B$4:$B$500,"&gt;="&amp;DATE(VALUE(LEFT($A37,4)),VALUE(RIGHT($A37,2)),1),Expense_Input!$B$4:$B$500,"&lt;"&amp;DATE(VALUE(LEFT($A37,4)),VALUE(RIGHT($A37,2))+1,1),Expense_Input!$H$4:$H$500,"Personal Expense",Expense_Input!$G$4:$G$500,"Discretionary")</f>
        <v>0</v>
      </c>
      <c r="F37" s="4">
        <f>SUMIFS(Expense_Input!$D$4:$D$500,Expense_Input!$B$4:$B$500,"&gt;="&amp;DATE(VALUE(LEFT($A37,4)),VALUE(RIGHT($A37,2)),1),Expense_Input!$B$4:$B$500,"&lt;"&amp;DATE(VALUE(LEFT($A37,4)),VALUE(RIGHT($A37,2))+1,1),Expense_Input!$H$4:$H$500,"Personal Expense",Expense_Input!$F$4:$F$500,"Fixed")</f>
        <v>0</v>
      </c>
      <c r="G37" s="4">
        <f>SUMIFS(Expense_Input!$D$4:$D$500,Expense_Input!$B$4:$B$500,"&gt;="&amp;DATE(VALUE(LEFT($A37,4)),VALUE(RIGHT($A37,2)),1),Expense_Input!$B$4:$B$500,"&lt;"&amp;DATE(VALUE(LEFT($A37,4)),VALUE(RIGHT($A37,2))+1,1),Expense_Input!$H$4:$H$500,"Personal Expense",Expense_Input!$F$4:$F$500,"Variable")</f>
        <v>0</v>
      </c>
      <c r="H37" s="4">
        <f>SUMIFS(Expense_Input!$D$4:$D$500,Expense_Input!$B$4:$B$500,"&gt;="&amp;DATE(VALUE(LEFT($A37,4)),VALUE(RIGHT($A37,2)),1),Expense_Input!$B$4:$B$500,"&lt;"&amp;DATE(VALUE(LEFT($A37,4)),VALUE(RIGHT($A37,2))+1,1),Expense_Input!$H$4:$H$500,"Personal Expense",Expense_Input!$F$4:$F$500,"One-time")</f>
        <v>0</v>
      </c>
      <c r="I37" s="4">
        <f>SUMIFS(Expense_Input!$D$4:$D$500,Expense_Input!$B$4:$B$500,"&gt;="&amp;DATE(VALUE(LEFT($A37,4)),VALUE(RIGHT($A37,2)),1),Expense_Input!$B$4:$B$500,"&lt;"&amp;DATE(VALUE(LEFT($A37,4)),VALUE(RIGHT($A37,2))+1,1),Expense_Input!$H$4:$H$500,"Personal Expense",Expense_Input!$E$4:$E$500,"Housing")</f>
        <v>0</v>
      </c>
      <c r="J37" s="4">
        <f t="shared" si="0"/>
        <v>0</v>
      </c>
      <c r="K37" s="4">
        <f t="shared" si="1"/>
        <v>0</v>
      </c>
      <c r="L37" s="4">
        <f>SUMIFS(Expense_Input!$D$4:$D$500,Expense_Input!$B$4:$B$500,"&gt;="&amp;DATE(VALUE(LEFT($A37,4)),VALUE(RIGHT($A37,2)),1),Expense_Input!$B$4:$B$500,"&lt;"&amp;DATE(VALUE(LEFT($A37,4)),VALUE(RIGHT($A37,2))+1,1),Expense_Input!$H$4:$H$500,"Property Expense")</f>
        <v>0</v>
      </c>
      <c r="M37" s="4">
        <f>SUMIFS(Expense_Input!$D$4:$D$500,Expense_Input!$B$4:$B$500,"&gt;="&amp;DATE(VALUE(LEFT($A37,4)),VALUE(RIGHT($A37,2)),1),Expense_Input!$B$4:$B$500,"&lt;"&amp;DATE(VALUE(LEFT($A37,4)),VALUE(RIGHT($A37,2))+1,1),Expense_Input!$H$4:$H$500,"Investment Transfer")</f>
        <v>0</v>
      </c>
      <c r="N37" s="4">
        <f>SUMIFS(Expense_Input!$D$4:$D$500,Expense_Input!$B$4:$B$500,"&gt;="&amp;DATE(VALUE(LEFT($A37,4)),VALUE(RIGHT($A37,2)),1),Expense_Input!$B$4:$B$500,"&lt;"&amp;DATE(VALUE(LEFT($A37,4)),VALUE(RIGHT($A37,2))+1,1),Expense_Input!$H$4:$H$500,"Internal Transfer")</f>
        <v>0</v>
      </c>
      <c r="O37" s="4">
        <f>SUMIFS(Sales_Tax_Detail!$S$4:$S$500,Sales_Tax_Detail!$C$4:$C$500,$A37)</f>
        <v>0</v>
      </c>
    </row>
    <row r="38" spans="1:16" x14ac:dyDescent="0.3">
      <c r="A38" t="s">
        <v>164</v>
      </c>
      <c r="B38" s="4">
        <f>SUMIFS(Income_Input!$D$4:$D$500,Income_Input!$B$4:$B$500,"&gt;="&amp;DATE(VALUE(LEFT($A38,4)),VALUE(RIGHT($A38,2)),1),Income_Input!$B$4:$B$500,"&lt;"&amp;DATE(VALUE(LEFT($A38,4)),VALUE(RIGHT($A38,2))+1,1))</f>
        <v>0</v>
      </c>
      <c r="C38" s="4">
        <f>SUMIFS(Expense_Input!$D$4:$D$500,Expense_Input!$B$4:$B$500,"&gt;="&amp;DATE(VALUE(LEFT($A38,4)),VALUE(RIGHT($A38,2)),1),Expense_Input!$B$4:$B$500,"&lt;"&amp;DATE(VALUE(LEFT($A38,4)),VALUE(RIGHT($A38,2))+1,1),Expense_Input!$H$4:$H$500,"Personal Expense")</f>
        <v>0</v>
      </c>
      <c r="D38" s="4">
        <f>SUMIFS(Expense_Input!$D$4:$D$500,Expense_Input!$B$4:$B$500,"&gt;="&amp;DATE(VALUE(LEFT($A38,4)),VALUE(RIGHT($A38,2)),1),Expense_Input!$B$4:$B$500,"&lt;"&amp;DATE(VALUE(LEFT($A38,4)),VALUE(RIGHT($A38,2))+1,1),Expense_Input!$H$4:$H$500,"Personal Expense",Expense_Input!$G$4:$G$500,"Essential")</f>
        <v>0</v>
      </c>
      <c r="E38" s="4">
        <f>SUMIFS(Expense_Input!$D$4:$D$500,Expense_Input!$B$4:$B$500,"&gt;="&amp;DATE(VALUE(LEFT($A38,4)),VALUE(RIGHT($A38,2)),1),Expense_Input!$B$4:$B$500,"&lt;"&amp;DATE(VALUE(LEFT($A38,4)),VALUE(RIGHT($A38,2))+1,1),Expense_Input!$H$4:$H$500,"Personal Expense",Expense_Input!$G$4:$G$500,"Discretionary")</f>
        <v>0</v>
      </c>
      <c r="F38" s="4">
        <f>SUMIFS(Expense_Input!$D$4:$D$500,Expense_Input!$B$4:$B$500,"&gt;="&amp;DATE(VALUE(LEFT($A38,4)),VALUE(RIGHT($A38,2)),1),Expense_Input!$B$4:$B$500,"&lt;"&amp;DATE(VALUE(LEFT($A38,4)),VALUE(RIGHT($A38,2))+1,1),Expense_Input!$H$4:$H$500,"Personal Expense",Expense_Input!$F$4:$F$500,"Fixed")</f>
        <v>0</v>
      </c>
      <c r="G38" s="4">
        <f>SUMIFS(Expense_Input!$D$4:$D$500,Expense_Input!$B$4:$B$500,"&gt;="&amp;DATE(VALUE(LEFT($A38,4)),VALUE(RIGHT($A38,2)),1),Expense_Input!$B$4:$B$500,"&lt;"&amp;DATE(VALUE(LEFT($A38,4)),VALUE(RIGHT($A38,2))+1,1),Expense_Input!$H$4:$H$500,"Personal Expense",Expense_Input!$F$4:$F$500,"Variable")</f>
        <v>0</v>
      </c>
      <c r="H38" s="4">
        <f>SUMIFS(Expense_Input!$D$4:$D$500,Expense_Input!$B$4:$B$500,"&gt;="&amp;DATE(VALUE(LEFT($A38,4)),VALUE(RIGHT($A38,2)),1),Expense_Input!$B$4:$B$500,"&lt;"&amp;DATE(VALUE(LEFT($A38,4)),VALUE(RIGHT($A38,2))+1,1),Expense_Input!$H$4:$H$500,"Personal Expense",Expense_Input!$F$4:$F$500,"One-time")</f>
        <v>0</v>
      </c>
      <c r="I38" s="4">
        <f>SUMIFS(Expense_Input!$D$4:$D$500,Expense_Input!$B$4:$B$500,"&gt;="&amp;DATE(VALUE(LEFT($A38,4)),VALUE(RIGHT($A38,2)),1),Expense_Input!$B$4:$B$500,"&lt;"&amp;DATE(VALUE(LEFT($A38,4)),VALUE(RIGHT($A38,2))+1,1),Expense_Input!$H$4:$H$500,"Personal Expense",Expense_Input!$E$4:$E$500,"Housing")</f>
        <v>0</v>
      </c>
      <c r="J38" s="4">
        <f t="shared" si="0"/>
        <v>0</v>
      </c>
      <c r="K38" s="4">
        <f t="shared" si="1"/>
        <v>0</v>
      </c>
      <c r="L38" s="4">
        <f>SUMIFS(Expense_Input!$D$4:$D$500,Expense_Input!$B$4:$B$500,"&gt;="&amp;DATE(VALUE(LEFT($A38,4)),VALUE(RIGHT($A38,2)),1),Expense_Input!$B$4:$B$500,"&lt;"&amp;DATE(VALUE(LEFT($A38,4)),VALUE(RIGHT($A38,2))+1,1),Expense_Input!$H$4:$H$500,"Property Expense")</f>
        <v>0</v>
      </c>
      <c r="M38" s="4">
        <f>SUMIFS(Expense_Input!$D$4:$D$500,Expense_Input!$B$4:$B$500,"&gt;="&amp;DATE(VALUE(LEFT($A38,4)),VALUE(RIGHT($A38,2)),1),Expense_Input!$B$4:$B$500,"&lt;"&amp;DATE(VALUE(LEFT($A38,4)),VALUE(RIGHT($A38,2))+1,1),Expense_Input!$H$4:$H$500,"Investment Transfer")</f>
        <v>0</v>
      </c>
      <c r="N38" s="4">
        <f>SUMIFS(Expense_Input!$D$4:$D$500,Expense_Input!$B$4:$B$500,"&gt;="&amp;DATE(VALUE(LEFT($A38,4)),VALUE(RIGHT($A38,2)),1),Expense_Input!$B$4:$B$500,"&lt;"&amp;DATE(VALUE(LEFT($A38,4)),VALUE(RIGHT($A38,2))+1,1),Expense_Input!$H$4:$H$500,"Internal Transfer")</f>
        <v>0</v>
      </c>
      <c r="O38" s="4">
        <f>SUMIFS(Sales_Tax_Detail!$S$4:$S$500,Sales_Tax_Detail!$C$4:$C$500,$A38)</f>
        <v>0</v>
      </c>
    </row>
    <row r="39" spans="1:16" x14ac:dyDescent="0.3">
      <c r="A39" t="s">
        <v>165</v>
      </c>
      <c r="B39" s="4">
        <f>SUMIFS(Income_Input!$D$4:$D$500,Income_Input!$B$4:$B$500,"&gt;="&amp;DATE(VALUE(LEFT($A39,4)),VALUE(RIGHT($A39,2)),1),Income_Input!$B$4:$B$500,"&lt;"&amp;DATE(VALUE(LEFT($A39,4)),VALUE(RIGHT($A39,2))+1,1))</f>
        <v>0</v>
      </c>
      <c r="C39" s="4">
        <f>SUMIFS(Expense_Input!$D$4:$D$500,Expense_Input!$B$4:$B$500,"&gt;="&amp;DATE(VALUE(LEFT($A39,4)),VALUE(RIGHT($A39,2)),1),Expense_Input!$B$4:$B$500,"&lt;"&amp;DATE(VALUE(LEFT($A39,4)),VALUE(RIGHT($A39,2))+1,1),Expense_Input!$H$4:$H$500,"Personal Expense")</f>
        <v>0</v>
      </c>
      <c r="D39" s="4">
        <f>SUMIFS(Expense_Input!$D$4:$D$500,Expense_Input!$B$4:$B$500,"&gt;="&amp;DATE(VALUE(LEFT($A39,4)),VALUE(RIGHT($A39,2)),1),Expense_Input!$B$4:$B$500,"&lt;"&amp;DATE(VALUE(LEFT($A39,4)),VALUE(RIGHT($A39,2))+1,1),Expense_Input!$H$4:$H$500,"Personal Expense",Expense_Input!$G$4:$G$500,"Essential")</f>
        <v>0</v>
      </c>
      <c r="E39" s="4">
        <f>SUMIFS(Expense_Input!$D$4:$D$500,Expense_Input!$B$4:$B$500,"&gt;="&amp;DATE(VALUE(LEFT($A39,4)),VALUE(RIGHT($A39,2)),1),Expense_Input!$B$4:$B$500,"&lt;"&amp;DATE(VALUE(LEFT($A39,4)),VALUE(RIGHT($A39,2))+1,1),Expense_Input!$H$4:$H$500,"Personal Expense",Expense_Input!$G$4:$G$500,"Discretionary")</f>
        <v>0</v>
      </c>
      <c r="F39" s="4">
        <f>SUMIFS(Expense_Input!$D$4:$D$500,Expense_Input!$B$4:$B$500,"&gt;="&amp;DATE(VALUE(LEFT($A39,4)),VALUE(RIGHT($A39,2)),1),Expense_Input!$B$4:$B$500,"&lt;"&amp;DATE(VALUE(LEFT($A39,4)),VALUE(RIGHT($A39,2))+1,1),Expense_Input!$H$4:$H$500,"Personal Expense",Expense_Input!$F$4:$F$500,"Fixed")</f>
        <v>0</v>
      </c>
      <c r="G39" s="4">
        <f>SUMIFS(Expense_Input!$D$4:$D$500,Expense_Input!$B$4:$B$500,"&gt;="&amp;DATE(VALUE(LEFT($A39,4)),VALUE(RIGHT($A39,2)),1),Expense_Input!$B$4:$B$500,"&lt;"&amp;DATE(VALUE(LEFT($A39,4)),VALUE(RIGHT($A39,2))+1,1),Expense_Input!$H$4:$H$500,"Personal Expense",Expense_Input!$F$4:$F$500,"Variable")</f>
        <v>0</v>
      </c>
      <c r="H39" s="4">
        <f>SUMIFS(Expense_Input!$D$4:$D$500,Expense_Input!$B$4:$B$500,"&gt;="&amp;DATE(VALUE(LEFT($A39,4)),VALUE(RIGHT($A39,2)),1),Expense_Input!$B$4:$B$500,"&lt;"&amp;DATE(VALUE(LEFT($A39,4)),VALUE(RIGHT($A39,2))+1,1),Expense_Input!$H$4:$H$500,"Personal Expense",Expense_Input!$F$4:$F$500,"One-time")</f>
        <v>0</v>
      </c>
      <c r="I39" s="4">
        <f>SUMIFS(Expense_Input!$D$4:$D$500,Expense_Input!$B$4:$B$500,"&gt;="&amp;DATE(VALUE(LEFT($A39,4)),VALUE(RIGHT($A39,2)),1),Expense_Input!$B$4:$B$500,"&lt;"&amp;DATE(VALUE(LEFT($A39,4)),VALUE(RIGHT($A39,2))+1,1),Expense_Input!$H$4:$H$500,"Personal Expense",Expense_Input!$E$4:$E$500,"Housing")</f>
        <v>0</v>
      </c>
      <c r="J39" s="4">
        <f t="shared" si="0"/>
        <v>0</v>
      </c>
      <c r="K39" s="4">
        <f t="shared" si="1"/>
        <v>0</v>
      </c>
      <c r="L39" s="4">
        <f>SUMIFS(Expense_Input!$D$4:$D$500,Expense_Input!$B$4:$B$500,"&gt;="&amp;DATE(VALUE(LEFT($A39,4)),VALUE(RIGHT($A39,2)),1),Expense_Input!$B$4:$B$500,"&lt;"&amp;DATE(VALUE(LEFT($A39,4)),VALUE(RIGHT($A39,2))+1,1),Expense_Input!$H$4:$H$500,"Property Expense")</f>
        <v>0</v>
      </c>
      <c r="M39" s="4">
        <f>SUMIFS(Expense_Input!$D$4:$D$500,Expense_Input!$B$4:$B$500,"&gt;="&amp;DATE(VALUE(LEFT($A39,4)),VALUE(RIGHT($A39,2)),1),Expense_Input!$B$4:$B$500,"&lt;"&amp;DATE(VALUE(LEFT($A39,4)),VALUE(RIGHT($A39,2))+1,1),Expense_Input!$H$4:$H$500,"Investment Transfer")</f>
        <v>0</v>
      </c>
      <c r="N39" s="4">
        <f>SUMIFS(Expense_Input!$D$4:$D$500,Expense_Input!$B$4:$B$500,"&gt;="&amp;DATE(VALUE(LEFT($A39,4)),VALUE(RIGHT($A39,2)),1),Expense_Input!$B$4:$B$500,"&lt;"&amp;DATE(VALUE(LEFT($A39,4)),VALUE(RIGHT($A39,2))+1,1),Expense_Input!$H$4:$H$500,"Internal Transfer")</f>
        <v>0</v>
      </c>
      <c r="O39" s="4">
        <f>SUMIFS(Sales_Tax_Detail!$S$4:$S$500,Sales_Tax_Detail!$C$4:$C$500,$A39)</f>
        <v>0</v>
      </c>
    </row>
    <row r="44" spans="1:16" ht="40.5" x14ac:dyDescent="0.3">
      <c r="A44" s="3" t="s">
        <v>50</v>
      </c>
      <c r="B44" s="3" t="s">
        <v>154</v>
      </c>
      <c r="C44" s="3" t="s">
        <v>155</v>
      </c>
      <c r="D44" s="3" t="s">
        <v>156</v>
      </c>
      <c r="E44" s="3" t="s">
        <v>157</v>
      </c>
      <c r="F44" s="3" t="s">
        <v>158</v>
      </c>
      <c r="G44" s="3" t="s">
        <v>159</v>
      </c>
      <c r="H44" s="3" t="s">
        <v>160</v>
      </c>
      <c r="I44" s="3" t="s">
        <v>161</v>
      </c>
      <c r="J44" s="3" t="s">
        <v>162</v>
      </c>
      <c r="K44" s="3" t="s">
        <v>163</v>
      </c>
      <c r="L44" s="3" t="s">
        <v>164</v>
      </c>
      <c r="M44" s="3" t="s">
        <v>165</v>
      </c>
      <c r="N44" s="3" t="s">
        <v>42</v>
      </c>
      <c r="O44" s="3" t="s">
        <v>222</v>
      </c>
      <c r="P44" s="3" t="s">
        <v>223</v>
      </c>
    </row>
    <row r="45" spans="1:16" x14ac:dyDescent="0.3">
      <c r="A45" t="s">
        <v>58</v>
      </c>
      <c r="B45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Expense",Expense_Input!$E$4:$E$500,$A45)</f>
        <v>3000</v>
      </c>
      <c r="C45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Expense",Expense_Input!$E$4:$E$500,$A45)</f>
        <v>3000</v>
      </c>
      <c r="D45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Expense",Expense_Input!$E$4:$E$500,$A45)</f>
        <v>0</v>
      </c>
      <c r="E45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Expense",Expense_Input!$E$4:$E$500,$A45)</f>
        <v>0</v>
      </c>
      <c r="F45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Expense",Expense_Input!$E$4:$E$500,$A45)</f>
        <v>0</v>
      </c>
      <c r="G45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Expense",Expense_Input!$E$4:$E$500,$A45)</f>
        <v>0</v>
      </c>
      <c r="H45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Expense",Expense_Input!$E$4:$E$500,$A45)</f>
        <v>0</v>
      </c>
      <c r="I45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Expense",Expense_Input!$E$4:$E$500,$A45)</f>
        <v>0</v>
      </c>
      <c r="J45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Expense",Expense_Input!$E$4:$E$500,$A45)</f>
        <v>0</v>
      </c>
      <c r="K45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Expense",Expense_Input!$E$4:$E$500,$A45)</f>
        <v>0</v>
      </c>
      <c r="L45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Expense",Expense_Input!$E$4:$E$500,$A45)</f>
        <v>0</v>
      </c>
      <c r="M45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Expense",Expense_Input!$E$4:$E$500,$A45)</f>
        <v>0</v>
      </c>
      <c r="N45" s="4">
        <f t="shared" ref="N45:N57" si="2">IF($B$4=0,0,SUM(B45:M45)/$B$4)</f>
        <v>3000</v>
      </c>
      <c r="O45" s="4">
        <f t="shared" ref="O45:O57" si="3">N45*12</f>
        <v>36000</v>
      </c>
      <c r="P45" s="6">
        <f t="shared" ref="P45:P57" si="4">IFERROR(N45/$B$7,0)</f>
        <v>0.58252427184466016</v>
      </c>
    </row>
    <row r="46" spans="1:16" x14ac:dyDescent="0.3">
      <c r="A46" t="s">
        <v>65</v>
      </c>
      <c r="B46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Expense",Expense_Input!$E$4:$E$500,$A46)</f>
        <v>770</v>
      </c>
      <c r="C46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Expense",Expense_Input!$E$4:$E$500,$A46)</f>
        <v>870</v>
      </c>
      <c r="D46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Expense",Expense_Input!$E$4:$E$500,$A46)</f>
        <v>0</v>
      </c>
      <c r="E46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Expense",Expense_Input!$E$4:$E$500,$A46)</f>
        <v>0</v>
      </c>
      <c r="F46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Expense",Expense_Input!$E$4:$E$500,$A46)</f>
        <v>0</v>
      </c>
      <c r="G46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Expense",Expense_Input!$E$4:$E$500,$A46)</f>
        <v>0</v>
      </c>
      <c r="H46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Expense",Expense_Input!$E$4:$E$500,$A46)</f>
        <v>0</v>
      </c>
      <c r="I46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Expense",Expense_Input!$E$4:$E$500,$A46)</f>
        <v>0</v>
      </c>
      <c r="J46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Expense",Expense_Input!$E$4:$E$500,$A46)</f>
        <v>0</v>
      </c>
      <c r="K46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Expense",Expense_Input!$E$4:$E$500,$A46)</f>
        <v>0</v>
      </c>
      <c r="L46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Expense",Expense_Input!$E$4:$E$500,$A46)</f>
        <v>0</v>
      </c>
      <c r="M46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Expense",Expense_Input!$E$4:$E$500,$A46)</f>
        <v>0</v>
      </c>
      <c r="N46" s="4">
        <f t="shared" si="2"/>
        <v>820</v>
      </c>
      <c r="O46" s="4">
        <f t="shared" si="3"/>
        <v>9840</v>
      </c>
      <c r="P46" s="6">
        <f t="shared" si="4"/>
        <v>0.15922330097087378</v>
      </c>
    </row>
    <row r="47" spans="1:16" x14ac:dyDescent="0.3">
      <c r="A47" t="s">
        <v>74</v>
      </c>
      <c r="B47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Expense",Expense_Input!$E$4:$E$500,$A47)</f>
        <v>220</v>
      </c>
      <c r="C47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Expense",Expense_Input!$E$4:$E$500,$A47)</f>
        <v>260</v>
      </c>
      <c r="D47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Expense",Expense_Input!$E$4:$E$500,$A47)</f>
        <v>0</v>
      </c>
      <c r="E47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Expense",Expense_Input!$E$4:$E$500,$A47)</f>
        <v>0</v>
      </c>
      <c r="F47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Expense",Expense_Input!$E$4:$E$500,$A47)</f>
        <v>0</v>
      </c>
      <c r="G47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Expense",Expense_Input!$E$4:$E$500,$A47)</f>
        <v>0</v>
      </c>
      <c r="H47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Expense",Expense_Input!$E$4:$E$500,$A47)</f>
        <v>0</v>
      </c>
      <c r="I47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Expense",Expense_Input!$E$4:$E$500,$A47)</f>
        <v>0</v>
      </c>
      <c r="J47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Expense",Expense_Input!$E$4:$E$500,$A47)</f>
        <v>0</v>
      </c>
      <c r="K47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Expense",Expense_Input!$E$4:$E$500,$A47)</f>
        <v>0</v>
      </c>
      <c r="L47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Expense",Expense_Input!$E$4:$E$500,$A47)</f>
        <v>0</v>
      </c>
      <c r="M47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Expense",Expense_Input!$E$4:$E$500,$A47)</f>
        <v>0</v>
      </c>
      <c r="N47" s="4">
        <f t="shared" si="2"/>
        <v>240</v>
      </c>
      <c r="O47" s="4">
        <f t="shared" si="3"/>
        <v>2880</v>
      </c>
      <c r="P47" s="6">
        <f t="shared" si="4"/>
        <v>4.6601941747572817E-2</v>
      </c>
    </row>
    <row r="48" spans="1:16" x14ac:dyDescent="0.3">
      <c r="A48" t="s">
        <v>77</v>
      </c>
      <c r="B48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Expense",Expense_Input!$E$4:$E$500,$A48)</f>
        <v>60</v>
      </c>
      <c r="C48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Expense",Expense_Input!$E$4:$E$500,$A48)</f>
        <v>60</v>
      </c>
      <c r="D48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Expense",Expense_Input!$E$4:$E$500,$A48)</f>
        <v>0</v>
      </c>
      <c r="E48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Expense",Expense_Input!$E$4:$E$500,$A48)</f>
        <v>0</v>
      </c>
      <c r="F48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Expense",Expense_Input!$E$4:$E$500,$A48)</f>
        <v>0</v>
      </c>
      <c r="G48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Expense",Expense_Input!$E$4:$E$500,$A48)</f>
        <v>0</v>
      </c>
      <c r="H48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Expense",Expense_Input!$E$4:$E$500,$A48)</f>
        <v>0</v>
      </c>
      <c r="I48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Expense",Expense_Input!$E$4:$E$500,$A48)</f>
        <v>0</v>
      </c>
      <c r="J48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Expense",Expense_Input!$E$4:$E$500,$A48)</f>
        <v>0</v>
      </c>
      <c r="K48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Expense",Expense_Input!$E$4:$E$500,$A48)</f>
        <v>0</v>
      </c>
      <c r="L48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Expense",Expense_Input!$E$4:$E$500,$A48)</f>
        <v>0</v>
      </c>
      <c r="M48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Expense",Expense_Input!$E$4:$E$500,$A48)</f>
        <v>0</v>
      </c>
      <c r="N48" s="4">
        <f t="shared" si="2"/>
        <v>60</v>
      </c>
      <c r="O48" s="4">
        <f t="shared" si="3"/>
        <v>720</v>
      </c>
      <c r="P48" s="6">
        <f t="shared" si="4"/>
        <v>1.1650485436893204E-2</v>
      </c>
    </row>
    <row r="49" spans="1:16" x14ac:dyDescent="0.3">
      <c r="A49" t="s">
        <v>80</v>
      </c>
      <c r="B49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Expense",Expense_Input!$E$4:$E$500,$A49)</f>
        <v>30</v>
      </c>
      <c r="C49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Expense",Expense_Input!$E$4:$E$500,$A49)</f>
        <v>45</v>
      </c>
      <c r="D49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Expense",Expense_Input!$E$4:$E$500,$A49)</f>
        <v>0</v>
      </c>
      <c r="E49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Expense",Expense_Input!$E$4:$E$500,$A49)</f>
        <v>0</v>
      </c>
      <c r="F49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Expense",Expense_Input!$E$4:$E$500,$A49)</f>
        <v>0</v>
      </c>
      <c r="G49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Expense",Expense_Input!$E$4:$E$500,$A49)</f>
        <v>0</v>
      </c>
      <c r="H49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Expense",Expense_Input!$E$4:$E$500,$A49)</f>
        <v>0</v>
      </c>
      <c r="I49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Expense",Expense_Input!$E$4:$E$500,$A49)</f>
        <v>0</v>
      </c>
      <c r="J49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Expense",Expense_Input!$E$4:$E$500,$A49)</f>
        <v>0</v>
      </c>
      <c r="K49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Expense",Expense_Input!$E$4:$E$500,$A49)</f>
        <v>0</v>
      </c>
      <c r="L49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Expense",Expense_Input!$E$4:$E$500,$A49)</f>
        <v>0</v>
      </c>
      <c r="M49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Expense",Expense_Input!$E$4:$E$500,$A49)</f>
        <v>0</v>
      </c>
      <c r="N49" s="4">
        <f t="shared" si="2"/>
        <v>37.5</v>
      </c>
      <c r="O49" s="4">
        <f t="shared" si="3"/>
        <v>450</v>
      </c>
      <c r="P49" s="6">
        <f t="shared" si="4"/>
        <v>7.2815533980582527E-3</v>
      </c>
    </row>
    <row r="50" spans="1:16" x14ac:dyDescent="0.3">
      <c r="A50" t="s">
        <v>82</v>
      </c>
      <c r="B50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Expense",Expense_Input!$E$4:$E$500,$A50)</f>
        <v>250</v>
      </c>
      <c r="C50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Expense",Expense_Input!$E$4:$E$500,$A50)</f>
        <v>300</v>
      </c>
      <c r="D50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Expense",Expense_Input!$E$4:$E$500,$A50)</f>
        <v>0</v>
      </c>
      <c r="E50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Expense",Expense_Input!$E$4:$E$500,$A50)</f>
        <v>0</v>
      </c>
      <c r="F50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Expense",Expense_Input!$E$4:$E$500,$A50)</f>
        <v>0</v>
      </c>
      <c r="G50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Expense",Expense_Input!$E$4:$E$500,$A50)</f>
        <v>0</v>
      </c>
      <c r="H50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Expense",Expense_Input!$E$4:$E$500,$A50)</f>
        <v>0</v>
      </c>
      <c r="I50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Expense",Expense_Input!$E$4:$E$500,$A50)</f>
        <v>0</v>
      </c>
      <c r="J50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Expense",Expense_Input!$E$4:$E$500,$A50)</f>
        <v>0</v>
      </c>
      <c r="K50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Expense",Expense_Input!$E$4:$E$500,$A50)</f>
        <v>0</v>
      </c>
      <c r="L50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Expense",Expense_Input!$E$4:$E$500,$A50)</f>
        <v>0</v>
      </c>
      <c r="M50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Expense",Expense_Input!$E$4:$E$500,$A50)</f>
        <v>0</v>
      </c>
      <c r="N50" s="4">
        <f t="shared" si="2"/>
        <v>275</v>
      </c>
      <c r="O50" s="4">
        <f t="shared" si="3"/>
        <v>3300</v>
      </c>
      <c r="P50" s="6">
        <f t="shared" si="4"/>
        <v>5.3398058252427182E-2</v>
      </c>
    </row>
    <row r="51" spans="1:16" x14ac:dyDescent="0.3">
      <c r="A51" t="s">
        <v>85</v>
      </c>
      <c r="B51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Expense",Expense_Input!$E$4:$E$500,$A51)</f>
        <v>80</v>
      </c>
      <c r="C51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Expense",Expense_Input!$E$4:$E$500,$A51)</f>
        <v>100</v>
      </c>
      <c r="D51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Expense",Expense_Input!$E$4:$E$500,$A51)</f>
        <v>0</v>
      </c>
      <c r="E51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Expense",Expense_Input!$E$4:$E$500,$A51)</f>
        <v>0</v>
      </c>
      <c r="F51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Expense",Expense_Input!$E$4:$E$500,$A51)</f>
        <v>0</v>
      </c>
      <c r="G51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Expense",Expense_Input!$E$4:$E$500,$A51)</f>
        <v>0</v>
      </c>
      <c r="H51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Expense",Expense_Input!$E$4:$E$500,$A51)</f>
        <v>0</v>
      </c>
      <c r="I51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Expense",Expense_Input!$E$4:$E$500,$A51)</f>
        <v>0</v>
      </c>
      <c r="J51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Expense",Expense_Input!$E$4:$E$500,$A51)</f>
        <v>0</v>
      </c>
      <c r="K51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Expense",Expense_Input!$E$4:$E$500,$A51)</f>
        <v>0</v>
      </c>
      <c r="L51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Expense",Expense_Input!$E$4:$E$500,$A51)</f>
        <v>0</v>
      </c>
      <c r="M51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Expense",Expense_Input!$E$4:$E$500,$A51)</f>
        <v>0</v>
      </c>
      <c r="N51" s="4">
        <f t="shared" si="2"/>
        <v>90</v>
      </c>
      <c r="O51" s="4">
        <f t="shared" si="3"/>
        <v>1080</v>
      </c>
      <c r="P51" s="6">
        <f t="shared" si="4"/>
        <v>1.7475728155339806E-2</v>
      </c>
    </row>
    <row r="52" spans="1:16" x14ac:dyDescent="0.3">
      <c r="A52" t="s">
        <v>88</v>
      </c>
      <c r="B52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Expense",Expense_Input!$E$4:$E$500,$A52)</f>
        <v>70</v>
      </c>
      <c r="C52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Expense",Expense_Input!$E$4:$E$500,$A52)</f>
        <v>70</v>
      </c>
      <c r="D52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Expense",Expense_Input!$E$4:$E$500,$A52)</f>
        <v>0</v>
      </c>
      <c r="E52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Expense",Expense_Input!$E$4:$E$500,$A52)</f>
        <v>0</v>
      </c>
      <c r="F52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Expense",Expense_Input!$E$4:$E$500,$A52)</f>
        <v>0</v>
      </c>
      <c r="G52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Expense",Expense_Input!$E$4:$E$500,$A52)</f>
        <v>0</v>
      </c>
      <c r="H52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Expense",Expense_Input!$E$4:$E$500,$A52)</f>
        <v>0</v>
      </c>
      <c r="I52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Expense",Expense_Input!$E$4:$E$500,$A52)</f>
        <v>0</v>
      </c>
      <c r="J52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Expense",Expense_Input!$E$4:$E$500,$A52)</f>
        <v>0</v>
      </c>
      <c r="K52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Expense",Expense_Input!$E$4:$E$500,$A52)</f>
        <v>0</v>
      </c>
      <c r="L52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Expense",Expense_Input!$E$4:$E$500,$A52)</f>
        <v>0</v>
      </c>
      <c r="M52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Expense",Expense_Input!$E$4:$E$500,$A52)</f>
        <v>0</v>
      </c>
      <c r="N52" s="4">
        <f t="shared" si="2"/>
        <v>70</v>
      </c>
      <c r="O52" s="4">
        <f t="shared" si="3"/>
        <v>840</v>
      </c>
      <c r="P52" s="6">
        <f t="shared" si="4"/>
        <v>1.3592233009708738E-2</v>
      </c>
    </row>
    <row r="53" spans="1:16" x14ac:dyDescent="0.3">
      <c r="A53" t="s">
        <v>91</v>
      </c>
      <c r="B53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Expense",Expense_Input!$E$4:$E$500,$A53)</f>
        <v>120</v>
      </c>
      <c r="C53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Expense",Expense_Input!$E$4:$E$500,$A53)</f>
        <v>140</v>
      </c>
      <c r="D53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Expense",Expense_Input!$E$4:$E$500,$A53)</f>
        <v>0</v>
      </c>
      <c r="E53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Expense",Expense_Input!$E$4:$E$500,$A53)</f>
        <v>0</v>
      </c>
      <c r="F53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Expense",Expense_Input!$E$4:$E$500,$A53)</f>
        <v>0</v>
      </c>
      <c r="G53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Expense",Expense_Input!$E$4:$E$500,$A53)</f>
        <v>0</v>
      </c>
      <c r="H53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Expense",Expense_Input!$E$4:$E$500,$A53)</f>
        <v>0</v>
      </c>
      <c r="I53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Expense",Expense_Input!$E$4:$E$500,$A53)</f>
        <v>0</v>
      </c>
      <c r="J53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Expense",Expense_Input!$E$4:$E$500,$A53)</f>
        <v>0</v>
      </c>
      <c r="K53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Expense",Expense_Input!$E$4:$E$500,$A53)</f>
        <v>0</v>
      </c>
      <c r="L53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Expense",Expense_Input!$E$4:$E$500,$A53)</f>
        <v>0</v>
      </c>
      <c r="M53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Expense",Expense_Input!$E$4:$E$500,$A53)</f>
        <v>0</v>
      </c>
      <c r="N53" s="4">
        <f t="shared" si="2"/>
        <v>130</v>
      </c>
      <c r="O53" s="4">
        <f t="shared" si="3"/>
        <v>1560</v>
      </c>
      <c r="P53" s="6">
        <f t="shared" si="4"/>
        <v>2.524271844660194E-2</v>
      </c>
    </row>
    <row r="54" spans="1:16" x14ac:dyDescent="0.3">
      <c r="A54" t="s">
        <v>96</v>
      </c>
      <c r="B54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Expense",Expense_Input!$E$4:$E$500,$A54)</f>
        <v>90</v>
      </c>
      <c r="C54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Expense",Expense_Input!$E$4:$E$500,$A54)</f>
        <v>100</v>
      </c>
      <c r="D54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Expense",Expense_Input!$E$4:$E$500,$A54)</f>
        <v>0</v>
      </c>
      <c r="E54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Expense",Expense_Input!$E$4:$E$500,$A54)</f>
        <v>0</v>
      </c>
      <c r="F54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Expense",Expense_Input!$E$4:$E$500,$A54)</f>
        <v>0</v>
      </c>
      <c r="G54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Expense",Expense_Input!$E$4:$E$500,$A54)</f>
        <v>0</v>
      </c>
      <c r="H54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Expense",Expense_Input!$E$4:$E$500,$A54)</f>
        <v>0</v>
      </c>
      <c r="I54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Expense",Expense_Input!$E$4:$E$500,$A54)</f>
        <v>0</v>
      </c>
      <c r="J54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Expense",Expense_Input!$E$4:$E$500,$A54)</f>
        <v>0</v>
      </c>
      <c r="K54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Expense",Expense_Input!$E$4:$E$500,$A54)</f>
        <v>0</v>
      </c>
      <c r="L54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Expense",Expense_Input!$E$4:$E$500,$A54)</f>
        <v>0</v>
      </c>
      <c r="M54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Expense",Expense_Input!$E$4:$E$500,$A54)</f>
        <v>0</v>
      </c>
      <c r="N54" s="4">
        <f t="shared" si="2"/>
        <v>95</v>
      </c>
      <c r="O54" s="4">
        <f t="shared" si="3"/>
        <v>1140</v>
      </c>
      <c r="P54" s="6">
        <f t="shared" si="4"/>
        <v>1.8446601941747572E-2</v>
      </c>
    </row>
    <row r="55" spans="1:16" x14ac:dyDescent="0.3">
      <c r="A55" t="s">
        <v>98</v>
      </c>
      <c r="B55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Expense",Expense_Input!$E$4:$E$500,$A55)</f>
        <v>100</v>
      </c>
      <c r="C55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Expense",Expense_Input!$E$4:$E$500,$A55)</f>
        <v>120</v>
      </c>
      <c r="D55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Expense",Expense_Input!$E$4:$E$500,$A55)</f>
        <v>0</v>
      </c>
      <c r="E55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Expense",Expense_Input!$E$4:$E$500,$A55)</f>
        <v>0</v>
      </c>
      <c r="F55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Expense",Expense_Input!$E$4:$E$500,$A55)</f>
        <v>0</v>
      </c>
      <c r="G55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Expense",Expense_Input!$E$4:$E$500,$A55)</f>
        <v>0</v>
      </c>
      <c r="H55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Expense",Expense_Input!$E$4:$E$500,$A55)</f>
        <v>0</v>
      </c>
      <c r="I55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Expense",Expense_Input!$E$4:$E$500,$A55)</f>
        <v>0</v>
      </c>
      <c r="J55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Expense",Expense_Input!$E$4:$E$500,$A55)</f>
        <v>0</v>
      </c>
      <c r="K55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Expense",Expense_Input!$E$4:$E$500,$A55)</f>
        <v>0</v>
      </c>
      <c r="L55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Expense",Expense_Input!$E$4:$E$500,$A55)</f>
        <v>0</v>
      </c>
      <c r="M55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Expense",Expense_Input!$E$4:$E$500,$A55)</f>
        <v>0</v>
      </c>
      <c r="N55" s="4">
        <f t="shared" si="2"/>
        <v>110</v>
      </c>
      <c r="O55" s="4">
        <f t="shared" si="3"/>
        <v>1320</v>
      </c>
      <c r="P55" s="6">
        <f t="shared" si="4"/>
        <v>2.1359223300970873E-2</v>
      </c>
    </row>
    <row r="56" spans="1:16" x14ac:dyDescent="0.3">
      <c r="A56" t="s">
        <v>101</v>
      </c>
      <c r="B56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Expense",Expense_Input!$E$4:$E$500,$A56)</f>
        <v>100</v>
      </c>
      <c r="C56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Expense",Expense_Input!$E$4:$E$500,$A56)</f>
        <v>150</v>
      </c>
      <c r="D56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Expense",Expense_Input!$E$4:$E$500,$A56)</f>
        <v>0</v>
      </c>
      <c r="E56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Expense",Expense_Input!$E$4:$E$500,$A56)</f>
        <v>0</v>
      </c>
      <c r="F56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Expense",Expense_Input!$E$4:$E$500,$A56)</f>
        <v>0</v>
      </c>
      <c r="G56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Expense",Expense_Input!$E$4:$E$500,$A56)</f>
        <v>0</v>
      </c>
      <c r="H56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Expense",Expense_Input!$E$4:$E$500,$A56)</f>
        <v>0</v>
      </c>
      <c r="I56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Expense",Expense_Input!$E$4:$E$500,$A56)</f>
        <v>0</v>
      </c>
      <c r="J56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Expense",Expense_Input!$E$4:$E$500,$A56)</f>
        <v>0</v>
      </c>
      <c r="K56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Expense",Expense_Input!$E$4:$E$500,$A56)</f>
        <v>0</v>
      </c>
      <c r="L56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Expense",Expense_Input!$E$4:$E$500,$A56)</f>
        <v>0</v>
      </c>
      <c r="M56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Expense",Expense_Input!$E$4:$E$500,$A56)</f>
        <v>0</v>
      </c>
      <c r="N56" s="4">
        <f t="shared" si="2"/>
        <v>125</v>
      </c>
      <c r="O56" s="4">
        <f t="shared" si="3"/>
        <v>1500</v>
      </c>
      <c r="P56" s="6">
        <f t="shared" si="4"/>
        <v>2.4271844660194174E-2</v>
      </c>
    </row>
    <row r="57" spans="1:16" x14ac:dyDescent="0.3">
      <c r="A57" t="s">
        <v>105</v>
      </c>
      <c r="B57" s="4">
        <f>SUMIFS(Expense_Input!$D$4:$D$500,Expense_Input!$B$4:$B$500,"&gt;="&amp;DATE(VALUE(LEFT(B$44,4)),VALUE(RIGHT(B$44,2)),1),Expense_Input!$B$4:$B$500,"&lt;"&amp;DATE(VALUE(LEFT(B$44,4)),VALUE(RIGHT(B$44,2))+1,1),Expense_Input!$H$4:$H$500,"Personal Expense",Expense_Input!$E$4:$E$500,$A57)</f>
        <v>110</v>
      </c>
      <c r="C57" s="4">
        <f>SUMIFS(Expense_Input!$D$4:$D$500,Expense_Input!$B$4:$B$500,"&gt;="&amp;DATE(VALUE(LEFT(C$44,4)),VALUE(RIGHT(C$44,2)),1),Expense_Input!$B$4:$B$500,"&lt;"&amp;DATE(VALUE(LEFT(C$44,4)),VALUE(RIGHT(C$44,2))+1,1),Expense_Input!$H$4:$H$500,"Personal Expense",Expense_Input!$E$4:$E$500,$A57)</f>
        <v>85</v>
      </c>
      <c r="D57" s="4">
        <f>SUMIFS(Expense_Input!$D$4:$D$500,Expense_Input!$B$4:$B$500,"&gt;="&amp;DATE(VALUE(LEFT(D$44,4)),VALUE(RIGHT(D$44,2)),1),Expense_Input!$B$4:$B$500,"&lt;"&amp;DATE(VALUE(LEFT(D$44,4)),VALUE(RIGHT(D$44,2))+1,1),Expense_Input!$H$4:$H$500,"Personal Expense",Expense_Input!$E$4:$E$500,$A57)</f>
        <v>0</v>
      </c>
      <c r="E57" s="4">
        <f>SUMIFS(Expense_Input!$D$4:$D$500,Expense_Input!$B$4:$B$500,"&gt;="&amp;DATE(VALUE(LEFT(E$44,4)),VALUE(RIGHT(E$44,2)),1),Expense_Input!$B$4:$B$500,"&lt;"&amp;DATE(VALUE(LEFT(E$44,4)),VALUE(RIGHT(E$44,2))+1,1),Expense_Input!$H$4:$H$500,"Personal Expense",Expense_Input!$E$4:$E$500,$A57)</f>
        <v>0</v>
      </c>
      <c r="F57" s="4">
        <f>SUMIFS(Expense_Input!$D$4:$D$500,Expense_Input!$B$4:$B$500,"&gt;="&amp;DATE(VALUE(LEFT(F$44,4)),VALUE(RIGHT(F$44,2)),1),Expense_Input!$B$4:$B$500,"&lt;"&amp;DATE(VALUE(LEFT(F$44,4)),VALUE(RIGHT(F$44,2))+1,1),Expense_Input!$H$4:$H$500,"Personal Expense",Expense_Input!$E$4:$E$500,$A57)</f>
        <v>0</v>
      </c>
      <c r="G57" s="4">
        <f>SUMIFS(Expense_Input!$D$4:$D$500,Expense_Input!$B$4:$B$500,"&gt;="&amp;DATE(VALUE(LEFT(G$44,4)),VALUE(RIGHT(G$44,2)),1),Expense_Input!$B$4:$B$500,"&lt;"&amp;DATE(VALUE(LEFT(G$44,4)),VALUE(RIGHT(G$44,2))+1,1),Expense_Input!$H$4:$H$500,"Personal Expense",Expense_Input!$E$4:$E$500,$A57)</f>
        <v>0</v>
      </c>
      <c r="H57" s="4">
        <f>SUMIFS(Expense_Input!$D$4:$D$500,Expense_Input!$B$4:$B$500,"&gt;="&amp;DATE(VALUE(LEFT(H$44,4)),VALUE(RIGHT(H$44,2)),1),Expense_Input!$B$4:$B$500,"&lt;"&amp;DATE(VALUE(LEFT(H$44,4)),VALUE(RIGHT(H$44,2))+1,1),Expense_Input!$H$4:$H$500,"Personal Expense",Expense_Input!$E$4:$E$500,$A57)</f>
        <v>0</v>
      </c>
      <c r="I57" s="4">
        <f>SUMIFS(Expense_Input!$D$4:$D$500,Expense_Input!$B$4:$B$500,"&gt;="&amp;DATE(VALUE(LEFT(I$44,4)),VALUE(RIGHT(I$44,2)),1),Expense_Input!$B$4:$B$500,"&lt;"&amp;DATE(VALUE(LEFT(I$44,4)),VALUE(RIGHT(I$44,2))+1,1),Expense_Input!$H$4:$H$500,"Personal Expense",Expense_Input!$E$4:$E$500,$A57)</f>
        <v>0</v>
      </c>
      <c r="J57" s="4">
        <f>SUMIFS(Expense_Input!$D$4:$D$500,Expense_Input!$B$4:$B$500,"&gt;="&amp;DATE(VALUE(LEFT(J$44,4)),VALUE(RIGHT(J$44,2)),1),Expense_Input!$B$4:$B$500,"&lt;"&amp;DATE(VALUE(LEFT(J$44,4)),VALUE(RIGHT(J$44,2))+1,1),Expense_Input!$H$4:$H$500,"Personal Expense",Expense_Input!$E$4:$E$500,$A57)</f>
        <v>0</v>
      </c>
      <c r="K57" s="4">
        <f>SUMIFS(Expense_Input!$D$4:$D$500,Expense_Input!$B$4:$B$500,"&gt;="&amp;DATE(VALUE(LEFT(K$44,4)),VALUE(RIGHT(K$44,2)),1),Expense_Input!$B$4:$B$500,"&lt;"&amp;DATE(VALUE(LEFT(K$44,4)),VALUE(RIGHT(K$44,2))+1,1),Expense_Input!$H$4:$H$500,"Personal Expense",Expense_Input!$E$4:$E$500,$A57)</f>
        <v>0</v>
      </c>
      <c r="L57" s="4">
        <f>SUMIFS(Expense_Input!$D$4:$D$500,Expense_Input!$B$4:$B$500,"&gt;="&amp;DATE(VALUE(LEFT(L$44,4)),VALUE(RIGHT(L$44,2)),1),Expense_Input!$B$4:$B$500,"&lt;"&amp;DATE(VALUE(LEFT(L$44,4)),VALUE(RIGHT(L$44,2))+1,1),Expense_Input!$H$4:$H$500,"Personal Expense",Expense_Input!$E$4:$E$500,$A57)</f>
        <v>0</v>
      </c>
      <c r="M57" s="4">
        <f>SUMIFS(Expense_Input!$D$4:$D$500,Expense_Input!$B$4:$B$500,"&gt;="&amp;DATE(VALUE(LEFT(M$44,4)),VALUE(RIGHT(M$44,2)),1),Expense_Input!$B$4:$B$500,"&lt;"&amp;DATE(VALUE(LEFT(M$44,4)),VALUE(RIGHT(M$44,2))+1,1),Expense_Input!$H$4:$H$500,"Personal Expense",Expense_Input!$E$4:$E$500,$A57)</f>
        <v>0</v>
      </c>
      <c r="N57" s="4">
        <f t="shared" si="2"/>
        <v>97.5</v>
      </c>
      <c r="O57" s="4">
        <f t="shared" si="3"/>
        <v>1170</v>
      </c>
      <c r="P57" s="6">
        <f t="shared" si="4"/>
        <v>1.8932038834951457E-2</v>
      </c>
    </row>
    <row r="63" spans="1:16" x14ac:dyDescent="0.3">
      <c r="A63" s="3" t="s">
        <v>254</v>
      </c>
      <c r="B63" s="3" t="s">
        <v>255</v>
      </c>
      <c r="C63" s="3" t="s">
        <v>256</v>
      </c>
      <c r="D63" s="3" t="s">
        <v>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3">
      <c r="A64" t="s">
        <v>257</v>
      </c>
      <c r="B64">
        <f>B8</f>
        <v>4000</v>
      </c>
      <c r="C64">
        <f>B64*12</f>
        <v>48000</v>
      </c>
      <c r="D64" t="s">
        <v>258</v>
      </c>
    </row>
    <row r="65" spans="1:4" x14ac:dyDescent="0.3">
      <c r="A65" t="s">
        <v>259</v>
      </c>
      <c r="B65">
        <f>B7</f>
        <v>5150</v>
      </c>
      <c r="C65">
        <f>B65*12</f>
        <v>61800</v>
      </c>
      <c r="D65" t="s">
        <v>260</v>
      </c>
    </row>
    <row r="66" spans="1:4" x14ac:dyDescent="0.3">
      <c r="A66" t="s">
        <v>261</v>
      </c>
      <c r="B66">
        <f>MAX($C$28:$C$39)</f>
        <v>5300</v>
      </c>
      <c r="C66">
        <f>B66*12</f>
        <v>63600</v>
      </c>
      <c r="D66" t="s">
        <v>262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500"/>
  <sheetViews>
    <sheetView topLeftCell="F1" workbookViewId="0">
      <pane ySplit="3" topLeftCell="A4" activePane="bottomLeft" state="frozen"/>
      <selection pane="bottomLeft"/>
    </sheetView>
  </sheetViews>
  <sheetFormatPr defaultRowHeight="13.5" x14ac:dyDescent="0.3"/>
  <cols>
    <col min="1" max="19" width="18" customWidth="1"/>
  </cols>
  <sheetData>
    <row r="1" spans="1:19" ht="17.649999999999999" x14ac:dyDescent="0.4">
      <c r="A1" s="1" t="s">
        <v>263</v>
      </c>
    </row>
    <row r="2" spans="1:19" x14ac:dyDescent="0.3">
      <c r="A2" s="2" t="s">
        <v>264</v>
      </c>
    </row>
    <row r="3" spans="1:19" ht="27" x14ac:dyDescent="0.3">
      <c r="A3" s="3" t="s">
        <v>46</v>
      </c>
      <c r="B3" s="3" t="s">
        <v>47</v>
      </c>
      <c r="C3" s="3" t="s">
        <v>36</v>
      </c>
      <c r="D3" s="3" t="s">
        <v>48</v>
      </c>
      <c r="E3" s="3" t="s">
        <v>49</v>
      </c>
      <c r="F3" s="3" t="s">
        <v>50</v>
      </c>
      <c r="G3" s="3" t="s">
        <v>53</v>
      </c>
      <c r="H3" s="3" t="s">
        <v>265</v>
      </c>
      <c r="I3" s="3" t="s">
        <v>184</v>
      </c>
      <c r="J3" s="3" t="s">
        <v>266</v>
      </c>
      <c r="K3" s="3" t="s">
        <v>267</v>
      </c>
      <c r="L3" s="3" t="s">
        <v>226</v>
      </c>
      <c r="M3" s="3" t="s">
        <v>227</v>
      </c>
      <c r="N3" s="3" t="s">
        <v>228</v>
      </c>
      <c r="O3" s="3" t="s">
        <v>229</v>
      </c>
      <c r="P3" s="3" t="s">
        <v>230</v>
      </c>
      <c r="Q3" s="3" t="s">
        <v>231</v>
      </c>
      <c r="R3" s="3" t="s">
        <v>232</v>
      </c>
      <c r="S3" s="3" t="s">
        <v>39</v>
      </c>
    </row>
    <row r="4" spans="1:19" x14ac:dyDescent="0.3">
      <c r="A4" t="str">
        <f>IF(Expense_Input!A4="","",Expense_Input!A4)</f>
        <v>EXP-0001</v>
      </c>
      <c r="B4">
        <f>IF(Expense_Input!B4="","",Expense_Input!B4)</f>
        <v>46023</v>
      </c>
      <c r="C4" t="str">
        <f t="shared" ref="C4:C67" si="0">IF(B4="","",TEXT(B4,"yyyy-mm"))</f>
        <v>2026-01</v>
      </c>
      <c r="D4" t="str">
        <f>IF(Expense_Input!C4="","",Expense_Input!C4)</f>
        <v>Rent</v>
      </c>
      <c r="E4" s="4">
        <f>IF(Expense_Input!D4="","",Expense_Input!D4)</f>
        <v>3000</v>
      </c>
      <c r="F4" t="str">
        <f>IF(Expense_Input!E4="","",Expense_Input!E4)</f>
        <v>Housing</v>
      </c>
      <c r="G4" t="str">
        <f>IF(Expense_Input!H4="","",Expense_Input!H4)</f>
        <v>Personal Expense</v>
      </c>
      <c r="H4" t="str">
        <f>IF(Expense_Input!I4="","Auto",Expense_Input!I4)</f>
        <v>Exempt</v>
      </c>
      <c r="I4" t="str">
        <f>IF(F4="","",IFERROR(VLOOKUP(F4,Sales_Tax_Settings!$A$15:$B$27,2,FALSE),"Tax Unknown"))</f>
        <v>Exempt</v>
      </c>
      <c r="J4" t="str">
        <f t="shared" ref="J4:J67" si="1">IF(D4="","",IF(H4="Auto",I4,H4))</f>
        <v>Exempt</v>
      </c>
      <c r="K4" t="str">
        <f>IF(AND(Sales_Tax_Settings!$B$5="Yes",G4="Personal Expense",J4="Taxable"),"Yes","No")</f>
        <v>No</v>
      </c>
      <c r="L4" s="4">
        <f t="shared" ref="L4:L67" si="2">IF(K4="Yes",E4,0)</f>
        <v>0</v>
      </c>
      <c r="M4" s="4">
        <f t="shared" ref="M4:M67" si="3">IF(AND(G4="Personal Expense",J4="Zero-rated"),E4,0)</f>
        <v>0</v>
      </c>
      <c r="N4" s="4">
        <f t="shared" ref="N4:N67" si="4">IF(AND(G4="Personal Expense",J4="Exempt"),E4,0)</f>
        <v>3000</v>
      </c>
      <c r="O4" s="4">
        <f t="shared" ref="O4:O67" si="5">IF(AND(G4="Personal Expense",OR(J4="Tax Unknown",J4="Not Applicable")),E4,0)</f>
        <v>0</v>
      </c>
      <c r="P4" s="4">
        <f>IF(K4&lt;&gt;"Yes",0,IF(Sales_Tax_Settings!$B$6="Yes",E4/(1+Sales_Tax_Settings!$B$10),E4))</f>
        <v>0</v>
      </c>
      <c r="Q4" s="4">
        <f>IF(K4&lt;&gt;"Yes",0,P4*Sales_Tax_Settings!$B$8)</f>
        <v>0</v>
      </c>
      <c r="R4" s="4">
        <f>IF(K4&lt;&gt;"Yes",0,P4*Sales_Tax_Settings!$B$9)</f>
        <v>0</v>
      </c>
      <c r="S4" s="4">
        <f t="shared" ref="S4:S67" si="6">Q4+R4</f>
        <v>0</v>
      </c>
    </row>
    <row r="5" spans="1:19" x14ac:dyDescent="0.3">
      <c r="A5" t="str">
        <f>IF(Expense_Input!A5="","",Expense_Input!A5)</f>
        <v>EXP-0002</v>
      </c>
      <c r="B5">
        <f>IF(Expense_Input!B5="","",Expense_Input!B5)</f>
        <v>46025</v>
      </c>
      <c r="C5" t="str">
        <f t="shared" si="0"/>
        <v>2026-01</v>
      </c>
      <c r="D5" t="str">
        <f>IF(Expense_Input!C5="","",Expense_Input!C5)</f>
        <v>Basic groceries</v>
      </c>
      <c r="E5" s="4">
        <f>IF(Expense_Input!D5="","",Expense_Input!D5)</f>
        <v>450</v>
      </c>
      <c r="F5" t="str">
        <f>IF(Expense_Input!E5="","",Expense_Input!E5)</f>
        <v>Food &amp; Dining</v>
      </c>
      <c r="G5" t="str">
        <f>IF(Expense_Input!H5="","",Expense_Input!H5)</f>
        <v>Personal Expense</v>
      </c>
      <c r="H5" t="str">
        <f>IF(Expense_Input!I5="","Auto",Expense_Input!I5)</f>
        <v>Zero-rated</v>
      </c>
      <c r="I5" t="str">
        <f>IF(F5="","",IFERROR(VLOOKUP(F5,Sales_Tax_Settings!$A$15:$B$27,2,FALSE),"Tax Unknown"))</f>
        <v>Taxable</v>
      </c>
      <c r="J5" t="str">
        <f t="shared" si="1"/>
        <v>Zero-rated</v>
      </c>
      <c r="K5" t="str">
        <f>IF(AND(Sales_Tax_Settings!$B$5="Yes",G5="Personal Expense",J5="Taxable"),"Yes","No")</f>
        <v>No</v>
      </c>
      <c r="L5" s="4">
        <f t="shared" si="2"/>
        <v>0</v>
      </c>
      <c r="M5" s="4">
        <f t="shared" si="3"/>
        <v>450</v>
      </c>
      <c r="N5" s="4">
        <f t="shared" si="4"/>
        <v>0</v>
      </c>
      <c r="O5" s="4">
        <f t="shared" si="5"/>
        <v>0</v>
      </c>
      <c r="P5" s="4">
        <f>IF(K5&lt;&gt;"Yes",0,IF(Sales_Tax_Settings!$B$6="Yes",E5/(1+Sales_Tax_Settings!$B$10),E5))</f>
        <v>0</v>
      </c>
      <c r="Q5" s="4">
        <f>IF(K5&lt;&gt;"Yes",0,P5*Sales_Tax_Settings!$B$8)</f>
        <v>0</v>
      </c>
      <c r="R5" s="4">
        <f>IF(K5&lt;&gt;"Yes",0,P5*Sales_Tax_Settings!$B$9)</f>
        <v>0</v>
      </c>
      <c r="S5" s="4">
        <f t="shared" si="6"/>
        <v>0</v>
      </c>
    </row>
    <row r="6" spans="1:19" x14ac:dyDescent="0.3">
      <c r="A6" t="str">
        <f>IF(Expense_Input!A6="","",Expense_Input!A6)</f>
        <v>EXP-0003</v>
      </c>
      <c r="B6">
        <f>IF(Expense_Input!B6="","",Expense_Input!B6)</f>
        <v>46027</v>
      </c>
      <c r="C6" t="str">
        <f t="shared" si="0"/>
        <v>2026-01</v>
      </c>
      <c r="D6" t="str">
        <f>IF(Expense_Input!C6="","",Expense_Input!C6)</f>
        <v>Restaurant dining</v>
      </c>
      <c r="E6" s="4">
        <f>IF(Expense_Input!D6="","",Expense_Input!D6)</f>
        <v>320</v>
      </c>
      <c r="F6" t="str">
        <f>IF(Expense_Input!E6="","",Expense_Input!E6)</f>
        <v>Food &amp; Dining</v>
      </c>
      <c r="G6" t="str">
        <f>IF(Expense_Input!H6="","",Expense_Input!H6)</f>
        <v>Personal Expense</v>
      </c>
      <c r="H6" t="str">
        <f>IF(Expense_Input!I6="","Auto",Expense_Input!I6)</f>
        <v>Taxable</v>
      </c>
      <c r="I6" t="str">
        <f>IF(F6="","",IFERROR(VLOOKUP(F6,Sales_Tax_Settings!$A$15:$B$27,2,FALSE),"Tax Unknown"))</f>
        <v>Taxable</v>
      </c>
      <c r="J6" t="str">
        <f t="shared" si="1"/>
        <v>Taxable</v>
      </c>
      <c r="K6" t="str">
        <f>IF(AND(Sales_Tax_Settings!$B$5="Yes",G6="Personal Expense",J6="Taxable"),"Yes","No")</f>
        <v>Yes</v>
      </c>
      <c r="L6" s="4">
        <f t="shared" si="2"/>
        <v>320</v>
      </c>
      <c r="M6" s="4">
        <f t="shared" si="3"/>
        <v>0</v>
      </c>
      <c r="N6" s="4">
        <f t="shared" si="4"/>
        <v>0</v>
      </c>
      <c r="O6" s="4">
        <f t="shared" si="5"/>
        <v>0</v>
      </c>
      <c r="P6" s="4">
        <f>IF(K6&lt;&gt;"Yes",0,IF(Sales_Tax_Settings!$B$6="Yes",E6/(1+Sales_Tax_Settings!$B$10),E6))</f>
        <v>278.32137421178516</v>
      </c>
      <c r="Q6" s="4">
        <f>IF(K6&lt;&gt;"Yes",0,P6*Sales_Tax_Settings!$B$8)</f>
        <v>13.916068710589258</v>
      </c>
      <c r="R6" s="4">
        <f>IF(K6&lt;&gt;"Yes",0,P6*Sales_Tax_Settings!$B$9)</f>
        <v>27.762557077625569</v>
      </c>
      <c r="S6" s="4">
        <f t="shared" si="6"/>
        <v>41.678625788214831</v>
      </c>
    </row>
    <row r="7" spans="1:19" x14ac:dyDescent="0.3">
      <c r="A7" t="str">
        <f>IF(Expense_Input!A7="","",Expense_Input!A7)</f>
        <v>EXP-0004</v>
      </c>
      <c r="B7">
        <f>IF(Expense_Input!B7="","",Expense_Input!B7)</f>
        <v>46029</v>
      </c>
      <c r="C7" t="str">
        <f t="shared" si="0"/>
        <v>2026-01</v>
      </c>
      <c r="D7" t="str">
        <f>IF(Expense_Input!C7="","",Expense_Input!C7)</f>
        <v>Gas</v>
      </c>
      <c r="E7" s="4">
        <f>IF(Expense_Input!D7="","",Expense_Input!D7)</f>
        <v>220</v>
      </c>
      <c r="F7" t="str">
        <f>IF(Expense_Input!E7="","",Expense_Input!E7)</f>
        <v>Transportation</v>
      </c>
      <c r="G7" t="str">
        <f>IF(Expense_Input!H7="","",Expense_Input!H7)</f>
        <v>Personal Expense</v>
      </c>
      <c r="H7" t="str">
        <f>IF(Expense_Input!I7="","Auto",Expense_Input!I7)</f>
        <v>Taxable</v>
      </c>
      <c r="I7" t="str">
        <f>IF(F7="","",IFERROR(VLOOKUP(F7,Sales_Tax_Settings!$A$15:$B$27,2,FALSE),"Tax Unknown"))</f>
        <v>Taxable</v>
      </c>
      <c r="J7" t="str">
        <f t="shared" si="1"/>
        <v>Taxable</v>
      </c>
      <c r="K7" t="str">
        <f>IF(AND(Sales_Tax_Settings!$B$5="Yes",G7="Personal Expense",J7="Taxable"),"Yes","No")</f>
        <v>Yes</v>
      </c>
      <c r="L7" s="4">
        <f t="shared" si="2"/>
        <v>220</v>
      </c>
      <c r="M7" s="4">
        <f t="shared" si="3"/>
        <v>0</v>
      </c>
      <c r="N7" s="4">
        <f t="shared" si="4"/>
        <v>0</v>
      </c>
      <c r="O7" s="4">
        <f t="shared" si="5"/>
        <v>0</v>
      </c>
      <c r="P7" s="4">
        <f>IF(K7&lt;&gt;"Yes",0,IF(Sales_Tax_Settings!$B$6="Yes",E7/(1+Sales_Tax_Settings!$B$10),E7))</f>
        <v>191.3459447706023</v>
      </c>
      <c r="Q7" s="4">
        <f>IF(K7&lt;&gt;"Yes",0,P7*Sales_Tax_Settings!$B$8)</f>
        <v>9.5672972385301147</v>
      </c>
      <c r="R7" s="4">
        <f>IF(K7&lt;&gt;"Yes",0,P7*Sales_Tax_Settings!$B$9)</f>
        <v>19.086757990867582</v>
      </c>
      <c r="S7" s="4">
        <f t="shared" si="6"/>
        <v>28.654055229397699</v>
      </c>
    </row>
    <row r="8" spans="1:19" x14ac:dyDescent="0.3">
      <c r="A8" t="str">
        <f>IF(Expense_Input!A8="","",Expense_Input!A8)</f>
        <v>EXP-0005</v>
      </c>
      <c r="B8">
        <f>IF(Expense_Input!B8="","",Expense_Input!B8)</f>
        <v>46030</v>
      </c>
      <c r="C8" t="str">
        <f t="shared" si="0"/>
        <v>2026-01</v>
      </c>
      <c r="D8" t="str">
        <f>IF(Expense_Input!C8="","",Expense_Input!C8)</f>
        <v>Mobile phone plan</v>
      </c>
      <c r="E8" s="4">
        <f>IF(Expense_Input!D8="","",Expense_Input!D8)</f>
        <v>60</v>
      </c>
      <c r="F8" t="str">
        <f>IF(Expense_Input!E8="","",Expense_Input!E8)</f>
        <v>Telecom</v>
      </c>
      <c r="G8" t="str">
        <f>IF(Expense_Input!H8="","",Expense_Input!H8)</f>
        <v>Personal Expense</v>
      </c>
      <c r="H8" t="str">
        <f>IF(Expense_Input!I8="","Auto",Expense_Input!I8)</f>
        <v>Taxable</v>
      </c>
      <c r="I8" t="str">
        <f>IF(F8="","",IFERROR(VLOOKUP(F8,Sales_Tax_Settings!$A$15:$B$27,2,FALSE),"Tax Unknown"))</f>
        <v>Taxable</v>
      </c>
      <c r="J8" t="str">
        <f t="shared" si="1"/>
        <v>Taxable</v>
      </c>
      <c r="K8" t="str">
        <f>IF(AND(Sales_Tax_Settings!$B$5="Yes",G8="Personal Expense",J8="Taxable"),"Yes","No")</f>
        <v>Yes</v>
      </c>
      <c r="L8" s="4">
        <f t="shared" si="2"/>
        <v>60</v>
      </c>
      <c r="M8" s="4">
        <f t="shared" si="3"/>
        <v>0</v>
      </c>
      <c r="N8" s="4">
        <f t="shared" si="4"/>
        <v>0</v>
      </c>
      <c r="O8" s="4">
        <f t="shared" si="5"/>
        <v>0</v>
      </c>
      <c r="P8" s="4">
        <f>IF(K8&lt;&gt;"Yes",0,IF(Sales_Tax_Settings!$B$6="Yes",E8/(1+Sales_Tax_Settings!$B$10),E8))</f>
        <v>52.185257664709717</v>
      </c>
      <c r="Q8" s="4">
        <f>IF(K8&lt;&gt;"Yes",0,P8*Sales_Tax_Settings!$B$8)</f>
        <v>2.6092628832354858</v>
      </c>
      <c r="R8" s="4">
        <f>IF(K8&lt;&gt;"Yes",0,P8*Sales_Tax_Settings!$B$9)</f>
        <v>5.2054794520547949</v>
      </c>
      <c r="S8" s="4">
        <f t="shared" si="6"/>
        <v>7.8147423352902807</v>
      </c>
    </row>
    <row r="9" spans="1:19" x14ac:dyDescent="0.3">
      <c r="A9" t="str">
        <f>IF(Expense_Input!A9="","",Expense_Input!A9)</f>
        <v>EXP-0006</v>
      </c>
      <c r="B9">
        <f>IF(Expense_Input!B9="","",Expense_Input!B9)</f>
        <v>46031</v>
      </c>
      <c r="C9" t="str">
        <f t="shared" si="0"/>
        <v>2026-01</v>
      </c>
      <c r="D9" t="str">
        <f>IF(Expense_Input!C9="","",Expense_Input!C9)</f>
        <v>Cloud subscription</v>
      </c>
      <c r="E9" s="4">
        <f>IF(Expense_Input!D9="","",Expense_Input!D9)</f>
        <v>30</v>
      </c>
      <c r="F9" t="str">
        <f>IF(Expense_Input!E9="","",Expense_Input!E9)</f>
        <v>Subscriptions</v>
      </c>
      <c r="G9" t="str">
        <f>IF(Expense_Input!H9="","",Expense_Input!H9)</f>
        <v>Personal Expense</v>
      </c>
      <c r="H9" t="str">
        <f>IF(Expense_Input!I9="","Auto",Expense_Input!I9)</f>
        <v>Taxable</v>
      </c>
      <c r="I9" t="str">
        <f>IF(F9="","",IFERROR(VLOOKUP(F9,Sales_Tax_Settings!$A$15:$B$27,2,FALSE),"Tax Unknown"))</f>
        <v>Taxable</v>
      </c>
      <c r="J9" t="str">
        <f t="shared" si="1"/>
        <v>Taxable</v>
      </c>
      <c r="K9" t="str">
        <f>IF(AND(Sales_Tax_Settings!$B$5="Yes",G9="Personal Expense",J9="Taxable"),"Yes","No")</f>
        <v>Yes</v>
      </c>
      <c r="L9" s="4">
        <f t="shared" si="2"/>
        <v>30</v>
      </c>
      <c r="M9" s="4">
        <f t="shared" si="3"/>
        <v>0</v>
      </c>
      <c r="N9" s="4">
        <f t="shared" si="4"/>
        <v>0</v>
      </c>
      <c r="O9" s="4">
        <f t="shared" si="5"/>
        <v>0</v>
      </c>
      <c r="P9" s="4">
        <f>IF(K9&lt;&gt;"Yes",0,IF(Sales_Tax_Settings!$B$6="Yes",E9/(1+Sales_Tax_Settings!$B$10),E9))</f>
        <v>26.092628832354858</v>
      </c>
      <c r="Q9" s="4">
        <f>IF(K9&lt;&gt;"Yes",0,P9*Sales_Tax_Settings!$B$8)</f>
        <v>1.3046314416177429</v>
      </c>
      <c r="R9" s="4">
        <f>IF(K9&lt;&gt;"Yes",0,P9*Sales_Tax_Settings!$B$9)</f>
        <v>2.6027397260273974</v>
      </c>
      <c r="S9" s="4">
        <f t="shared" si="6"/>
        <v>3.9073711676451404</v>
      </c>
    </row>
    <row r="10" spans="1:19" x14ac:dyDescent="0.3">
      <c r="A10" t="str">
        <f>IF(Expense_Input!A10="","",Expense_Input!A10)</f>
        <v>EXP-0007</v>
      </c>
      <c r="B10">
        <f>IF(Expense_Input!B10="","",Expense_Input!B10)</f>
        <v>46032</v>
      </c>
      <c r="C10" t="str">
        <f t="shared" si="0"/>
        <v>2026-01</v>
      </c>
      <c r="D10" t="str">
        <f>IF(Expense_Input!C10="","",Expense_Input!C10)</f>
        <v>Shopping</v>
      </c>
      <c r="E10" s="4">
        <f>IF(Expense_Input!D10="","",Expense_Input!D10)</f>
        <v>250</v>
      </c>
      <c r="F10" t="str">
        <f>IF(Expense_Input!E10="","",Expense_Input!E10)</f>
        <v>Shopping</v>
      </c>
      <c r="G10" t="str">
        <f>IF(Expense_Input!H10="","",Expense_Input!H10)</f>
        <v>Personal Expense</v>
      </c>
      <c r="H10" t="str">
        <f>IF(Expense_Input!I10="","Auto",Expense_Input!I10)</f>
        <v>Taxable</v>
      </c>
      <c r="I10" t="str">
        <f>IF(F10="","",IFERROR(VLOOKUP(F10,Sales_Tax_Settings!$A$15:$B$27,2,FALSE),"Tax Unknown"))</f>
        <v>Taxable</v>
      </c>
      <c r="J10" t="str">
        <f t="shared" si="1"/>
        <v>Taxable</v>
      </c>
      <c r="K10" t="str">
        <f>IF(AND(Sales_Tax_Settings!$B$5="Yes",G10="Personal Expense",J10="Taxable"),"Yes","No")</f>
        <v>Yes</v>
      </c>
      <c r="L10" s="4">
        <f t="shared" si="2"/>
        <v>250</v>
      </c>
      <c r="M10" s="4">
        <f t="shared" si="3"/>
        <v>0</v>
      </c>
      <c r="N10" s="4">
        <f t="shared" si="4"/>
        <v>0</v>
      </c>
      <c r="O10" s="4">
        <f t="shared" si="5"/>
        <v>0</v>
      </c>
      <c r="P10" s="4">
        <f>IF(K10&lt;&gt;"Yes",0,IF(Sales_Tax_Settings!$B$6="Yes",E10/(1+Sales_Tax_Settings!$B$10),E10))</f>
        <v>217.43857360295715</v>
      </c>
      <c r="Q10" s="4">
        <f>IF(K10&lt;&gt;"Yes",0,P10*Sales_Tax_Settings!$B$8)</f>
        <v>10.871928680147859</v>
      </c>
      <c r="R10" s="4">
        <f>IF(K10&lt;&gt;"Yes",0,P10*Sales_Tax_Settings!$B$9)</f>
        <v>21.689497716894977</v>
      </c>
      <c r="S10" s="4">
        <f t="shared" si="6"/>
        <v>32.561426397042837</v>
      </c>
    </row>
    <row r="11" spans="1:19" x14ac:dyDescent="0.3">
      <c r="A11" t="str">
        <f>IF(Expense_Input!A11="","",Expense_Input!A11)</f>
        <v>EXP-0008</v>
      </c>
      <c r="B11">
        <f>IF(Expense_Input!B11="","",Expense_Input!B11)</f>
        <v>46034</v>
      </c>
      <c r="C11" t="str">
        <f t="shared" si="0"/>
        <v>2026-01</v>
      </c>
      <c r="D11" t="str">
        <f>IF(Expense_Input!C11="","",Expense_Input!C11)</f>
        <v>Medical supplies</v>
      </c>
      <c r="E11" s="4">
        <f>IF(Expense_Input!D11="","",Expense_Input!D11)</f>
        <v>80</v>
      </c>
      <c r="F11" t="str">
        <f>IF(Expense_Input!E11="","",Expense_Input!E11)</f>
        <v>Medical</v>
      </c>
      <c r="G11" t="str">
        <f>IF(Expense_Input!H11="","",Expense_Input!H11)</f>
        <v>Personal Expense</v>
      </c>
      <c r="H11" t="str">
        <f>IF(Expense_Input!I11="","Auto",Expense_Input!I11)</f>
        <v>Exempt</v>
      </c>
      <c r="I11" t="str">
        <f>IF(F11="","",IFERROR(VLOOKUP(F11,Sales_Tax_Settings!$A$15:$B$27,2,FALSE),"Tax Unknown"))</f>
        <v>Exempt</v>
      </c>
      <c r="J11" t="str">
        <f t="shared" si="1"/>
        <v>Exempt</v>
      </c>
      <c r="K11" t="str">
        <f>IF(AND(Sales_Tax_Settings!$B$5="Yes",G11="Personal Expense",J11="Taxable"),"Yes","No")</f>
        <v>No</v>
      </c>
      <c r="L11" s="4">
        <f t="shared" si="2"/>
        <v>0</v>
      </c>
      <c r="M11" s="4">
        <f t="shared" si="3"/>
        <v>0</v>
      </c>
      <c r="N11" s="4">
        <f t="shared" si="4"/>
        <v>80</v>
      </c>
      <c r="O11" s="4">
        <f t="shared" si="5"/>
        <v>0</v>
      </c>
      <c r="P11" s="4">
        <f>IF(K11&lt;&gt;"Yes",0,IF(Sales_Tax_Settings!$B$6="Yes",E11/(1+Sales_Tax_Settings!$B$10),E11))</f>
        <v>0</v>
      </c>
      <c r="Q11" s="4">
        <f>IF(K11&lt;&gt;"Yes",0,P11*Sales_Tax_Settings!$B$8)</f>
        <v>0</v>
      </c>
      <c r="R11" s="4">
        <f>IF(K11&lt;&gt;"Yes",0,P11*Sales_Tax_Settings!$B$9)</f>
        <v>0</v>
      </c>
      <c r="S11" s="4">
        <f t="shared" si="6"/>
        <v>0</v>
      </c>
    </row>
    <row r="12" spans="1:19" x14ac:dyDescent="0.3">
      <c r="A12" t="str">
        <f>IF(Expense_Input!A12="","",Expense_Input!A12)</f>
        <v>EXP-0009</v>
      </c>
      <c r="B12">
        <f>IF(Expense_Input!B12="","",Expense_Input!B12)</f>
        <v>46037</v>
      </c>
      <c r="C12" t="str">
        <f t="shared" si="0"/>
        <v>2026-01</v>
      </c>
      <c r="D12" t="str">
        <f>IF(Expense_Input!C12="","",Expense_Input!C12)</f>
        <v>Gym membership</v>
      </c>
      <c r="E12" s="4">
        <f>IF(Expense_Input!D12="","",Expense_Input!D12)</f>
        <v>70</v>
      </c>
      <c r="F12" t="str">
        <f>IF(Expense_Input!E12="","",Expense_Input!E12)</f>
        <v>Fitness</v>
      </c>
      <c r="G12" t="str">
        <f>IF(Expense_Input!H12="","",Expense_Input!H12)</f>
        <v>Personal Expense</v>
      </c>
      <c r="H12" t="str">
        <f>IF(Expense_Input!I12="","Auto",Expense_Input!I12)</f>
        <v>Taxable</v>
      </c>
      <c r="I12" t="str">
        <f>IF(F12="","",IFERROR(VLOOKUP(F12,Sales_Tax_Settings!$A$15:$B$27,2,FALSE),"Tax Unknown"))</f>
        <v>Taxable</v>
      </c>
      <c r="J12" t="str">
        <f t="shared" si="1"/>
        <v>Taxable</v>
      </c>
      <c r="K12" t="str">
        <f>IF(AND(Sales_Tax_Settings!$B$5="Yes",G12="Personal Expense",J12="Taxable"),"Yes","No")</f>
        <v>Yes</v>
      </c>
      <c r="L12" s="4">
        <f t="shared" si="2"/>
        <v>70</v>
      </c>
      <c r="M12" s="4">
        <f t="shared" si="3"/>
        <v>0</v>
      </c>
      <c r="N12" s="4">
        <f t="shared" si="4"/>
        <v>0</v>
      </c>
      <c r="O12" s="4">
        <f t="shared" si="5"/>
        <v>0</v>
      </c>
      <c r="P12" s="4">
        <f>IF(K12&lt;&gt;"Yes",0,IF(Sales_Tax_Settings!$B$6="Yes",E12/(1+Sales_Tax_Settings!$B$10),E12))</f>
        <v>60.882800608828006</v>
      </c>
      <c r="Q12" s="4">
        <f>IF(K12&lt;&gt;"Yes",0,P12*Sales_Tax_Settings!$B$8)</f>
        <v>3.0441400304414006</v>
      </c>
      <c r="R12" s="4">
        <f>IF(K12&lt;&gt;"Yes",0,P12*Sales_Tax_Settings!$B$9)</f>
        <v>6.0730593607305936</v>
      </c>
      <c r="S12" s="4">
        <f t="shared" si="6"/>
        <v>9.1171993911719937</v>
      </c>
    </row>
    <row r="13" spans="1:19" x14ac:dyDescent="0.3">
      <c r="A13" t="str">
        <f>IF(Expense_Input!A13="","",Expense_Input!A13)</f>
        <v>EXP-0010</v>
      </c>
      <c r="B13">
        <f>IF(Expense_Input!B13="","",Expense_Input!B13)</f>
        <v>46038</v>
      </c>
      <c r="C13" t="str">
        <f t="shared" si="0"/>
        <v>2026-01</v>
      </c>
      <c r="D13" t="str">
        <f>IF(Expense_Input!C13="","",Expense_Input!C13)</f>
        <v>Courses and books</v>
      </c>
      <c r="E13" s="4">
        <f>IF(Expense_Input!D13="","",Expense_Input!D13)</f>
        <v>120</v>
      </c>
      <c r="F13" t="str">
        <f>IF(Expense_Input!E13="","",Expense_Input!E13)</f>
        <v>Education</v>
      </c>
      <c r="G13" t="str">
        <f>IF(Expense_Input!H13="","",Expense_Input!H13)</f>
        <v>Personal Expense</v>
      </c>
      <c r="H13" t="str">
        <f>IF(Expense_Input!I13="","Auto",Expense_Input!I13)</f>
        <v>Tax Unknown</v>
      </c>
      <c r="I13" t="str">
        <f>IF(F13="","",IFERROR(VLOOKUP(F13,Sales_Tax_Settings!$A$15:$B$27,2,FALSE),"Tax Unknown"))</f>
        <v>Tax Unknown</v>
      </c>
      <c r="J13" t="str">
        <f t="shared" si="1"/>
        <v>Tax Unknown</v>
      </c>
      <c r="K13" t="str">
        <f>IF(AND(Sales_Tax_Settings!$B$5="Yes",G13="Personal Expense",J13="Taxable"),"Yes","No")</f>
        <v>No</v>
      </c>
      <c r="L13" s="4">
        <f t="shared" si="2"/>
        <v>0</v>
      </c>
      <c r="M13" s="4">
        <f t="shared" si="3"/>
        <v>0</v>
      </c>
      <c r="N13" s="4">
        <f t="shared" si="4"/>
        <v>0</v>
      </c>
      <c r="O13" s="4">
        <f t="shared" si="5"/>
        <v>120</v>
      </c>
      <c r="P13" s="4">
        <f>IF(K13&lt;&gt;"Yes",0,IF(Sales_Tax_Settings!$B$6="Yes",E13/(1+Sales_Tax_Settings!$B$10),E13))</f>
        <v>0</v>
      </c>
      <c r="Q13" s="4">
        <f>IF(K13&lt;&gt;"Yes",0,P13*Sales_Tax_Settings!$B$8)</f>
        <v>0</v>
      </c>
      <c r="R13" s="4">
        <f>IF(K13&lt;&gt;"Yes",0,P13*Sales_Tax_Settings!$B$9)</f>
        <v>0</v>
      </c>
      <c r="S13" s="4">
        <f t="shared" si="6"/>
        <v>0</v>
      </c>
    </row>
    <row r="14" spans="1:19" x14ac:dyDescent="0.3">
      <c r="A14" t="str">
        <f>IF(Expense_Input!A14="","",Expense_Input!A14)</f>
        <v>EXP-0011</v>
      </c>
      <c r="B14">
        <f>IF(Expense_Input!B14="","",Expense_Input!B14)</f>
        <v>46040</v>
      </c>
      <c r="C14" t="str">
        <f t="shared" si="0"/>
        <v>2026-01</v>
      </c>
      <c r="D14" t="str">
        <f>IF(Expense_Input!C14="","",Expense_Input!C14)</f>
        <v>Pet supplies</v>
      </c>
      <c r="E14" s="4">
        <f>IF(Expense_Input!D14="","",Expense_Input!D14)</f>
        <v>90</v>
      </c>
      <c r="F14" t="str">
        <f>IF(Expense_Input!E14="","",Expense_Input!E14)</f>
        <v>Pet</v>
      </c>
      <c r="G14" t="str">
        <f>IF(Expense_Input!H14="","",Expense_Input!H14)</f>
        <v>Personal Expense</v>
      </c>
      <c r="H14" t="str">
        <f>IF(Expense_Input!I14="","Auto",Expense_Input!I14)</f>
        <v>Taxable</v>
      </c>
      <c r="I14" t="str">
        <f>IF(F14="","",IFERROR(VLOOKUP(F14,Sales_Tax_Settings!$A$15:$B$27,2,FALSE),"Tax Unknown"))</f>
        <v>Taxable</v>
      </c>
      <c r="J14" t="str">
        <f t="shared" si="1"/>
        <v>Taxable</v>
      </c>
      <c r="K14" t="str">
        <f>IF(AND(Sales_Tax_Settings!$B$5="Yes",G14="Personal Expense",J14="Taxable"),"Yes","No")</f>
        <v>Yes</v>
      </c>
      <c r="L14" s="4">
        <f t="shared" si="2"/>
        <v>90</v>
      </c>
      <c r="M14" s="4">
        <f t="shared" si="3"/>
        <v>0</v>
      </c>
      <c r="N14" s="4">
        <f t="shared" si="4"/>
        <v>0</v>
      </c>
      <c r="O14" s="4">
        <f t="shared" si="5"/>
        <v>0</v>
      </c>
      <c r="P14" s="4">
        <f>IF(K14&lt;&gt;"Yes",0,IF(Sales_Tax_Settings!$B$6="Yes",E14/(1+Sales_Tax_Settings!$B$10),E14))</f>
        <v>78.277886497064571</v>
      </c>
      <c r="Q14" s="4">
        <f>IF(K14&lt;&gt;"Yes",0,P14*Sales_Tax_Settings!$B$8)</f>
        <v>3.9138943248532287</v>
      </c>
      <c r="R14" s="4">
        <f>IF(K14&lt;&gt;"Yes",0,P14*Sales_Tax_Settings!$B$9)</f>
        <v>7.808219178082191</v>
      </c>
      <c r="S14" s="4">
        <f t="shared" si="6"/>
        <v>11.72211350293542</v>
      </c>
    </row>
    <row r="15" spans="1:19" x14ac:dyDescent="0.3">
      <c r="A15" t="str">
        <f>IF(Expense_Input!A15="","",Expense_Input!A15)</f>
        <v>EXP-0012</v>
      </c>
      <c r="B15">
        <f>IF(Expense_Input!B15="","",Expense_Input!B15)</f>
        <v>46042</v>
      </c>
      <c r="C15" t="str">
        <f t="shared" si="0"/>
        <v>2026-01</v>
      </c>
      <c r="D15" t="str">
        <f>IF(Expense_Input!C15="","",Expense_Input!C15)</f>
        <v>Entertainment</v>
      </c>
      <c r="E15" s="4">
        <f>IF(Expense_Input!D15="","",Expense_Input!D15)</f>
        <v>100</v>
      </c>
      <c r="F15" t="str">
        <f>IF(Expense_Input!E15="","",Expense_Input!E15)</f>
        <v>Entertainment</v>
      </c>
      <c r="G15" t="str">
        <f>IF(Expense_Input!H15="","",Expense_Input!H15)</f>
        <v>Personal Expense</v>
      </c>
      <c r="H15" t="str">
        <f>IF(Expense_Input!I15="","Auto",Expense_Input!I15)</f>
        <v>Taxable</v>
      </c>
      <c r="I15" t="str">
        <f>IF(F15="","",IFERROR(VLOOKUP(F15,Sales_Tax_Settings!$A$15:$B$27,2,FALSE),"Tax Unknown"))</f>
        <v>Taxable</v>
      </c>
      <c r="J15" t="str">
        <f t="shared" si="1"/>
        <v>Taxable</v>
      </c>
      <c r="K15" t="str">
        <f>IF(AND(Sales_Tax_Settings!$B$5="Yes",G15="Personal Expense",J15="Taxable"),"Yes","No")</f>
        <v>Yes</v>
      </c>
      <c r="L15" s="4">
        <f t="shared" si="2"/>
        <v>100</v>
      </c>
      <c r="M15" s="4">
        <f t="shared" si="3"/>
        <v>0</v>
      </c>
      <c r="N15" s="4">
        <f t="shared" si="4"/>
        <v>0</v>
      </c>
      <c r="O15" s="4">
        <f t="shared" si="5"/>
        <v>0</v>
      </c>
      <c r="P15" s="4">
        <f>IF(K15&lt;&gt;"Yes",0,IF(Sales_Tax_Settings!$B$6="Yes",E15/(1+Sales_Tax_Settings!$B$10),E15))</f>
        <v>86.975429441182868</v>
      </c>
      <c r="Q15" s="4">
        <f>IF(K15&lt;&gt;"Yes",0,P15*Sales_Tax_Settings!$B$8)</f>
        <v>4.3487714720591439</v>
      </c>
      <c r="R15" s="4">
        <f>IF(K15&lt;&gt;"Yes",0,P15*Sales_Tax_Settings!$B$9)</f>
        <v>8.6757990867579924</v>
      </c>
      <c r="S15" s="4">
        <f t="shared" si="6"/>
        <v>13.024570558817135</v>
      </c>
    </row>
    <row r="16" spans="1:19" x14ac:dyDescent="0.3">
      <c r="A16" t="str">
        <f>IF(Expense_Input!A16="","",Expense_Input!A16)</f>
        <v>EXP-0013</v>
      </c>
      <c r="B16">
        <f>IF(Expense_Input!B16="","",Expense_Input!B16)</f>
        <v>46047</v>
      </c>
      <c r="C16" t="str">
        <f t="shared" si="0"/>
        <v>2026-01</v>
      </c>
      <c r="D16" t="str">
        <f>IF(Expense_Input!C16="","",Expense_Input!C16)</f>
        <v>Government fee</v>
      </c>
      <c r="E16" s="4">
        <f>IF(Expense_Input!D16="","",Expense_Input!D16)</f>
        <v>100</v>
      </c>
      <c r="F16" t="str">
        <f>IF(Expense_Input!E16="","",Expense_Input!E16)</f>
        <v>Taxes &amp; Gov Fees</v>
      </c>
      <c r="G16" t="str">
        <f>IF(Expense_Input!H16="","",Expense_Input!H16)</f>
        <v>Personal Expense</v>
      </c>
      <c r="H16" t="str">
        <f>IF(Expense_Input!I16="","Auto",Expense_Input!I16)</f>
        <v>Not Applicable</v>
      </c>
      <c r="I16" t="str">
        <f>IF(F16="","",IFERROR(VLOOKUP(F16,Sales_Tax_Settings!$A$15:$B$27,2,FALSE),"Tax Unknown"))</f>
        <v>Not Applicable</v>
      </c>
      <c r="J16" t="str">
        <f t="shared" si="1"/>
        <v>Not Applicable</v>
      </c>
      <c r="K16" t="str">
        <f>IF(AND(Sales_Tax_Settings!$B$5="Yes",G16="Personal Expense",J16="Taxable"),"Yes","No")</f>
        <v>No</v>
      </c>
      <c r="L16" s="4">
        <f t="shared" si="2"/>
        <v>0</v>
      </c>
      <c r="M16" s="4">
        <f t="shared" si="3"/>
        <v>0</v>
      </c>
      <c r="N16" s="4">
        <f t="shared" si="4"/>
        <v>0</v>
      </c>
      <c r="O16" s="4">
        <f t="shared" si="5"/>
        <v>100</v>
      </c>
      <c r="P16" s="4">
        <f>IF(K16&lt;&gt;"Yes",0,IF(Sales_Tax_Settings!$B$6="Yes",E16/(1+Sales_Tax_Settings!$B$10),E16))</f>
        <v>0</v>
      </c>
      <c r="Q16" s="4">
        <f>IF(K16&lt;&gt;"Yes",0,P16*Sales_Tax_Settings!$B$8)</f>
        <v>0</v>
      </c>
      <c r="R16" s="4">
        <f>IF(K16&lt;&gt;"Yes",0,P16*Sales_Tax_Settings!$B$9)</f>
        <v>0</v>
      </c>
      <c r="S16" s="4">
        <f t="shared" si="6"/>
        <v>0</v>
      </c>
    </row>
    <row r="17" spans="1:19" x14ac:dyDescent="0.3">
      <c r="A17" t="str">
        <f>IF(Expense_Input!A17="","",Expense_Input!A17)</f>
        <v>EXP-0014</v>
      </c>
      <c r="B17">
        <f>IF(Expense_Input!B17="","",Expense_Input!B17)</f>
        <v>46050</v>
      </c>
      <c r="C17" t="str">
        <f t="shared" si="0"/>
        <v>2026-01</v>
      </c>
      <c r="D17" t="str">
        <f>IF(Expense_Input!C17="","",Expense_Input!C17)</f>
        <v>Miscellaneous</v>
      </c>
      <c r="E17" s="4">
        <f>IF(Expense_Input!D17="","",Expense_Input!D17)</f>
        <v>110</v>
      </c>
      <c r="F17" t="str">
        <f>IF(Expense_Input!E17="","",Expense_Input!E17)</f>
        <v>Other</v>
      </c>
      <c r="G17" t="str">
        <f>IF(Expense_Input!H17="","",Expense_Input!H17)</f>
        <v>Personal Expense</v>
      </c>
      <c r="H17" t="str">
        <f>IF(Expense_Input!I17="","Auto",Expense_Input!I17)</f>
        <v>Tax Unknown</v>
      </c>
      <c r="I17" t="str">
        <f>IF(F17="","",IFERROR(VLOOKUP(F17,Sales_Tax_Settings!$A$15:$B$27,2,FALSE),"Tax Unknown"))</f>
        <v>Tax Unknown</v>
      </c>
      <c r="J17" t="str">
        <f t="shared" si="1"/>
        <v>Tax Unknown</v>
      </c>
      <c r="K17" t="str">
        <f>IF(AND(Sales_Tax_Settings!$B$5="Yes",G17="Personal Expense",J17="Taxable"),"Yes","No")</f>
        <v>No</v>
      </c>
      <c r="L17" s="4">
        <f t="shared" si="2"/>
        <v>0</v>
      </c>
      <c r="M17" s="4">
        <f t="shared" si="3"/>
        <v>0</v>
      </c>
      <c r="N17" s="4">
        <f t="shared" si="4"/>
        <v>0</v>
      </c>
      <c r="O17" s="4">
        <f t="shared" si="5"/>
        <v>110</v>
      </c>
      <c r="P17" s="4">
        <f>IF(K17&lt;&gt;"Yes",0,IF(Sales_Tax_Settings!$B$6="Yes",E17/(1+Sales_Tax_Settings!$B$10),E17))</f>
        <v>0</v>
      </c>
      <c r="Q17" s="4">
        <f>IF(K17&lt;&gt;"Yes",0,P17*Sales_Tax_Settings!$B$8)</f>
        <v>0</v>
      </c>
      <c r="R17" s="4">
        <f>IF(K17&lt;&gt;"Yes",0,P17*Sales_Tax_Settings!$B$9)</f>
        <v>0</v>
      </c>
      <c r="S17" s="4">
        <f t="shared" si="6"/>
        <v>0</v>
      </c>
    </row>
    <row r="18" spans="1:19" x14ac:dyDescent="0.3">
      <c r="A18" t="str">
        <f>IF(Expense_Input!A18="","",Expense_Input!A18)</f>
        <v>EXP-0015</v>
      </c>
      <c r="B18">
        <f>IF(Expense_Input!B18="","",Expense_Input!B18)</f>
        <v>46054</v>
      </c>
      <c r="C18" t="str">
        <f t="shared" si="0"/>
        <v>2026-02</v>
      </c>
      <c r="D18" t="str">
        <f>IF(Expense_Input!C18="","",Expense_Input!C18)</f>
        <v>Rent</v>
      </c>
      <c r="E18" s="4">
        <f>IF(Expense_Input!D18="","",Expense_Input!D18)</f>
        <v>3000</v>
      </c>
      <c r="F18" t="str">
        <f>IF(Expense_Input!E18="","",Expense_Input!E18)</f>
        <v>Housing</v>
      </c>
      <c r="G18" t="str">
        <f>IF(Expense_Input!H18="","",Expense_Input!H18)</f>
        <v>Personal Expense</v>
      </c>
      <c r="H18" t="str">
        <f>IF(Expense_Input!I18="","Auto",Expense_Input!I18)</f>
        <v>Exempt</v>
      </c>
      <c r="I18" t="str">
        <f>IF(F18="","",IFERROR(VLOOKUP(F18,Sales_Tax_Settings!$A$15:$B$27,2,FALSE),"Tax Unknown"))</f>
        <v>Exempt</v>
      </c>
      <c r="J18" t="str">
        <f t="shared" si="1"/>
        <v>Exempt</v>
      </c>
      <c r="K18" t="str">
        <f>IF(AND(Sales_Tax_Settings!$B$5="Yes",G18="Personal Expense",J18="Taxable"),"Yes","No")</f>
        <v>No</v>
      </c>
      <c r="L18" s="4">
        <f t="shared" si="2"/>
        <v>0</v>
      </c>
      <c r="M18" s="4">
        <f t="shared" si="3"/>
        <v>0</v>
      </c>
      <c r="N18" s="4">
        <f t="shared" si="4"/>
        <v>3000</v>
      </c>
      <c r="O18" s="4">
        <f t="shared" si="5"/>
        <v>0</v>
      </c>
      <c r="P18" s="4">
        <f>IF(K18&lt;&gt;"Yes",0,IF(Sales_Tax_Settings!$B$6="Yes",E18/(1+Sales_Tax_Settings!$B$10),E18))</f>
        <v>0</v>
      </c>
      <c r="Q18" s="4">
        <f>IF(K18&lt;&gt;"Yes",0,P18*Sales_Tax_Settings!$B$8)</f>
        <v>0</v>
      </c>
      <c r="R18" s="4">
        <f>IF(K18&lt;&gt;"Yes",0,P18*Sales_Tax_Settings!$B$9)</f>
        <v>0</v>
      </c>
      <c r="S18" s="4">
        <f t="shared" si="6"/>
        <v>0</v>
      </c>
    </row>
    <row r="19" spans="1:19" x14ac:dyDescent="0.3">
      <c r="A19" t="str">
        <f>IF(Expense_Input!A19="","",Expense_Input!A19)</f>
        <v>EXP-0016</v>
      </c>
      <c r="B19">
        <f>IF(Expense_Input!B19="","",Expense_Input!B19)</f>
        <v>46056</v>
      </c>
      <c r="C19" t="str">
        <f t="shared" si="0"/>
        <v>2026-02</v>
      </c>
      <c r="D19" t="str">
        <f>IF(Expense_Input!C19="","",Expense_Input!C19)</f>
        <v>Basic groceries</v>
      </c>
      <c r="E19" s="4">
        <f>IF(Expense_Input!D19="","",Expense_Input!D19)</f>
        <v>520</v>
      </c>
      <c r="F19" t="str">
        <f>IF(Expense_Input!E19="","",Expense_Input!E19)</f>
        <v>Food &amp; Dining</v>
      </c>
      <c r="G19" t="str">
        <f>IF(Expense_Input!H19="","",Expense_Input!H19)</f>
        <v>Personal Expense</v>
      </c>
      <c r="H19" t="str">
        <f>IF(Expense_Input!I19="","Auto",Expense_Input!I19)</f>
        <v>Zero-rated</v>
      </c>
      <c r="I19" t="str">
        <f>IF(F19="","",IFERROR(VLOOKUP(F19,Sales_Tax_Settings!$A$15:$B$27,2,FALSE),"Tax Unknown"))</f>
        <v>Taxable</v>
      </c>
      <c r="J19" t="str">
        <f t="shared" si="1"/>
        <v>Zero-rated</v>
      </c>
      <c r="K19" t="str">
        <f>IF(AND(Sales_Tax_Settings!$B$5="Yes",G19="Personal Expense",J19="Taxable"),"Yes","No")</f>
        <v>No</v>
      </c>
      <c r="L19" s="4">
        <f t="shared" si="2"/>
        <v>0</v>
      </c>
      <c r="M19" s="4">
        <f t="shared" si="3"/>
        <v>520</v>
      </c>
      <c r="N19" s="4">
        <f t="shared" si="4"/>
        <v>0</v>
      </c>
      <c r="O19" s="4">
        <f t="shared" si="5"/>
        <v>0</v>
      </c>
      <c r="P19" s="4">
        <f>IF(K19&lt;&gt;"Yes",0,IF(Sales_Tax_Settings!$B$6="Yes",E19/(1+Sales_Tax_Settings!$B$10),E19))</f>
        <v>0</v>
      </c>
      <c r="Q19" s="4">
        <f>IF(K19&lt;&gt;"Yes",0,P19*Sales_Tax_Settings!$B$8)</f>
        <v>0</v>
      </c>
      <c r="R19" s="4">
        <f>IF(K19&lt;&gt;"Yes",0,P19*Sales_Tax_Settings!$B$9)</f>
        <v>0</v>
      </c>
      <c r="S19" s="4">
        <f t="shared" si="6"/>
        <v>0</v>
      </c>
    </row>
    <row r="20" spans="1:19" x14ac:dyDescent="0.3">
      <c r="A20" t="str">
        <f>IF(Expense_Input!A20="","",Expense_Input!A20)</f>
        <v>EXP-0017</v>
      </c>
      <c r="B20">
        <f>IF(Expense_Input!B20="","",Expense_Input!B20)</f>
        <v>46058</v>
      </c>
      <c r="C20" t="str">
        <f t="shared" si="0"/>
        <v>2026-02</v>
      </c>
      <c r="D20" t="str">
        <f>IF(Expense_Input!C20="","",Expense_Input!C20)</f>
        <v>Group dinner</v>
      </c>
      <c r="E20" s="4">
        <f>IF(Expense_Input!D20="","",Expense_Input!D20)</f>
        <v>350</v>
      </c>
      <c r="F20" t="str">
        <f>IF(Expense_Input!E20="","",Expense_Input!E20)</f>
        <v>Food &amp; Dining</v>
      </c>
      <c r="G20" t="str">
        <f>IF(Expense_Input!H20="","",Expense_Input!H20)</f>
        <v>Personal Expense</v>
      </c>
      <c r="H20" t="str">
        <f>IF(Expense_Input!I20="","Auto",Expense_Input!I20)</f>
        <v>Taxable</v>
      </c>
      <c r="I20" t="str">
        <f>IF(F20="","",IFERROR(VLOOKUP(F20,Sales_Tax_Settings!$A$15:$B$27,2,FALSE),"Tax Unknown"))</f>
        <v>Taxable</v>
      </c>
      <c r="J20" t="str">
        <f t="shared" si="1"/>
        <v>Taxable</v>
      </c>
      <c r="K20" t="str">
        <f>IF(AND(Sales_Tax_Settings!$B$5="Yes",G20="Personal Expense",J20="Taxable"),"Yes","No")</f>
        <v>Yes</v>
      </c>
      <c r="L20" s="4">
        <f t="shared" si="2"/>
        <v>350</v>
      </c>
      <c r="M20" s="4">
        <f t="shared" si="3"/>
        <v>0</v>
      </c>
      <c r="N20" s="4">
        <f t="shared" si="4"/>
        <v>0</v>
      </c>
      <c r="O20" s="4">
        <f t="shared" si="5"/>
        <v>0</v>
      </c>
      <c r="P20" s="4">
        <f>IF(K20&lt;&gt;"Yes",0,IF(Sales_Tax_Settings!$B$6="Yes",E20/(1+Sales_Tax_Settings!$B$10),E20))</f>
        <v>304.41400304414003</v>
      </c>
      <c r="Q20" s="4">
        <f>IF(K20&lt;&gt;"Yes",0,P20*Sales_Tax_Settings!$B$8)</f>
        <v>15.220700152207002</v>
      </c>
      <c r="R20" s="4">
        <f>IF(K20&lt;&gt;"Yes",0,P20*Sales_Tax_Settings!$B$9)</f>
        <v>30.365296803652971</v>
      </c>
      <c r="S20" s="4">
        <f t="shared" si="6"/>
        <v>45.585996955859969</v>
      </c>
    </row>
    <row r="21" spans="1:19" x14ac:dyDescent="0.3">
      <c r="A21" t="str">
        <f>IF(Expense_Input!A21="","",Expense_Input!A21)</f>
        <v>EXP-0018</v>
      </c>
      <c r="B21">
        <f>IF(Expense_Input!B21="","",Expense_Input!B21)</f>
        <v>46059</v>
      </c>
      <c r="C21" t="str">
        <f t="shared" si="0"/>
        <v>2026-02</v>
      </c>
      <c r="D21" t="str">
        <f>IF(Expense_Input!C21="","",Expense_Input!C21)</f>
        <v>Gas and parking</v>
      </c>
      <c r="E21" s="4">
        <f>IF(Expense_Input!D21="","",Expense_Input!D21)</f>
        <v>260</v>
      </c>
      <c r="F21" t="str">
        <f>IF(Expense_Input!E21="","",Expense_Input!E21)</f>
        <v>Transportation</v>
      </c>
      <c r="G21" t="str">
        <f>IF(Expense_Input!H21="","",Expense_Input!H21)</f>
        <v>Personal Expense</v>
      </c>
      <c r="H21" t="str">
        <f>IF(Expense_Input!I21="","Auto",Expense_Input!I21)</f>
        <v>Taxable</v>
      </c>
      <c r="I21" t="str">
        <f>IF(F21="","",IFERROR(VLOOKUP(F21,Sales_Tax_Settings!$A$15:$B$27,2,FALSE),"Tax Unknown"))</f>
        <v>Taxable</v>
      </c>
      <c r="J21" t="str">
        <f t="shared" si="1"/>
        <v>Taxable</v>
      </c>
      <c r="K21" t="str">
        <f>IF(AND(Sales_Tax_Settings!$B$5="Yes",G21="Personal Expense",J21="Taxable"),"Yes","No")</f>
        <v>Yes</v>
      </c>
      <c r="L21" s="4">
        <f t="shared" si="2"/>
        <v>260</v>
      </c>
      <c r="M21" s="4">
        <f t="shared" si="3"/>
        <v>0</v>
      </c>
      <c r="N21" s="4">
        <f t="shared" si="4"/>
        <v>0</v>
      </c>
      <c r="O21" s="4">
        <f t="shared" si="5"/>
        <v>0</v>
      </c>
      <c r="P21" s="4">
        <f>IF(K21&lt;&gt;"Yes",0,IF(Sales_Tax_Settings!$B$6="Yes",E21/(1+Sales_Tax_Settings!$B$10),E21))</f>
        <v>226.13611654707543</v>
      </c>
      <c r="Q21" s="4">
        <f>IF(K21&lt;&gt;"Yes",0,P21*Sales_Tax_Settings!$B$8)</f>
        <v>11.306805827353772</v>
      </c>
      <c r="R21" s="4">
        <f>IF(K21&lt;&gt;"Yes",0,P21*Sales_Tax_Settings!$B$9)</f>
        <v>22.557077625570777</v>
      </c>
      <c r="S21" s="4">
        <f t="shared" si="6"/>
        <v>33.863883452924547</v>
      </c>
    </row>
    <row r="22" spans="1:19" x14ac:dyDescent="0.3">
      <c r="A22" t="str">
        <f>IF(Expense_Input!A22="","",Expense_Input!A22)</f>
        <v>EXP-0019</v>
      </c>
      <c r="B22">
        <f>IF(Expense_Input!B22="","",Expense_Input!B22)</f>
        <v>46061</v>
      </c>
      <c r="C22" t="str">
        <f t="shared" si="0"/>
        <v>2026-02</v>
      </c>
      <c r="D22" t="str">
        <f>IF(Expense_Input!C22="","",Expense_Input!C22)</f>
        <v>Mobile phone plan</v>
      </c>
      <c r="E22" s="4">
        <f>IF(Expense_Input!D22="","",Expense_Input!D22)</f>
        <v>60</v>
      </c>
      <c r="F22" t="str">
        <f>IF(Expense_Input!E22="","",Expense_Input!E22)</f>
        <v>Telecom</v>
      </c>
      <c r="G22" t="str">
        <f>IF(Expense_Input!H22="","",Expense_Input!H22)</f>
        <v>Personal Expense</v>
      </c>
      <c r="H22" t="str">
        <f>IF(Expense_Input!I22="","Auto",Expense_Input!I22)</f>
        <v>Taxable</v>
      </c>
      <c r="I22" t="str">
        <f>IF(F22="","",IFERROR(VLOOKUP(F22,Sales_Tax_Settings!$A$15:$B$27,2,FALSE),"Tax Unknown"))</f>
        <v>Taxable</v>
      </c>
      <c r="J22" t="str">
        <f t="shared" si="1"/>
        <v>Taxable</v>
      </c>
      <c r="K22" t="str">
        <f>IF(AND(Sales_Tax_Settings!$B$5="Yes",G22="Personal Expense",J22="Taxable"),"Yes","No")</f>
        <v>Yes</v>
      </c>
      <c r="L22" s="4">
        <f t="shared" si="2"/>
        <v>60</v>
      </c>
      <c r="M22" s="4">
        <f t="shared" si="3"/>
        <v>0</v>
      </c>
      <c r="N22" s="4">
        <f t="shared" si="4"/>
        <v>0</v>
      </c>
      <c r="O22" s="4">
        <f t="shared" si="5"/>
        <v>0</v>
      </c>
      <c r="P22" s="4">
        <f>IF(K22&lt;&gt;"Yes",0,IF(Sales_Tax_Settings!$B$6="Yes",E22/(1+Sales_Tax_Settings!$B$10),E22))</f>
        <v>52.185257664709717</v>
      </c>
      <c r="Q22" s="4">
        <f>IF(K22&lt;&gt;"Yes",0,P22*Sales_Tax_Settings!$B$8)</f>
        <v>2.6092628832354858</v>
      </c>
      <c r="R22" s="4">
        <f>IF(K22&lt;&gt;"Yes",0,P22*Sales_Tax_Settings!$B$9)</f>
        <v>5.2054794520547949</v>
      </c>
      <c r="S22" s="4">
        <f t="shared" si="6"/>
        <v>7.8147423352902807</v>
      </c>
    </row>
    <row r="23" spans="1:19" x14ac:dyDescent="0.3">
      <c r="A23" t="str">
        <f>IF(Expense_Input!A23="","",Expense_Input!A23)</f>
        <v>EXP-0020</v>
      </c>
      <c r="B23">
        <f>IF(Expense_Input!B23="","",Expense_Input!B23)</f>
        <v>46063</v>
      </c>
      <c r="C23" t="str">
        <f t="shared" si="0"/>
        <v>2026-02</v>
      </c>
      <c r="D23" t="str">
        <f>IF(Expense_Input!C23="","",Expense_Input!C23)</f>
        <v>Software subscription</v>
      </c>
      <c r="E23" s="4">
        <f>IF(Expense_Input!D23="","",Expense_Input!D23)</f>
        <v>45</v>
      </c>
      <c r="F23" t="str">
        <f>IF(Expense_Input!E23="","",Expense_Input!E23)</f>
        <v>Subscriptions</v>
      </c>
      <c r="G23" t="str">
        <f>IF(Expense_Input!H23="","",Expense_Input!H23)</f>
        <v>Personal Expense</v>
      </c>
      <c r="H23" t="str">
        <f>IF(Expense_Input!I23="","Auto",Expense_Input!I23)</f>
        <v>Taxable</v>
      </c>
      <c r="I23" t="str">
        <f>IF(F23="","",IFERROR(VLOOKUP(F23,Sales_Tax_Settings!$A$15:$B$27,2,FALSE),"Tax Unknown"))</f>
        <v>Taxable</v>
      </c>
      <c r="J23" t="str">
        <f t="shared" si="1"/>
        <v>Taxable</v>
      </c>
      <c r="K23" t="str">
        <f>IF(AND(Sales_Tax_Settings!$B$5="Yes",G23="Personal Expense",J23="Taxable"),"Yes","No")</f>
        <v>Yes</v>
      </c>
      <c r="L23" s="4">
        <f t="shared" si="2"/>
        <v>45</v>
      </c>
      <c r="M23" s="4">
        <f t="shared" si="3"/>
        <v>0</v>
      </c>
      <c r="N23" s="4">
        <f t="shared" si="4"/>
        <v>0</v>
      </c>
      <c r="O23" s="4">
        <f t="shared" si="5"/>
        <v>0</v>
      </c>
      <c r="P23" s="4">
        <f>IF(K23&lt;&gt;"Yes",0,IF(Sales_Tax_Settings!$B$6="Yes",E23/(1+Sales_Tax_Settings!$B$10),E23))</f>
        <v>39.138943248532286</v>
      </c>
      <c r="Q23" s="4">
        <f>IF(K23&lt;&gt;"Yes",0,P23*Sales_Tax_Settings!$B$8)</f>
        <v>1.9569471624266144</v>
      </c>
      <c r="R23" s="4">
        <f>IF(K23&lt;&gt;"Yes",0,P23*Sales_Tax_Settings!$B$9)</f>
        <v>3.9041095890410955</v>
      </c>
      <c r="S23" s="4">
        <f t="shared" si="6"/>
        <v>5.8610567514677099</v>
      </c>
    </row>
    <row r="24" spans="1:19" x14ac:dyDescent="0.3">
      <c r="A24" t="str">
        <f>IF(Expense_Input!A24="","",Expense_Input!A24)</f>
        <v>EXP-0021</v>
      </c>
      <c r="B24">
        <f>IF(Expense_Input!B24="","",Expense_Input!B24)</f>
        <v>46064</v>
      </c>
      <c r="C24" t="str">
        <f t="shared" si="0"/>
        <v>2026-02</v>
      </c>
      <c r="D24" t="str">
        <f>IF(Expense_Input!C24="","",Expense_Input!C24)</f>
        <v>Clothing purchase</v>
      </c>
      <c r="E24" s="4">
        <f>IF(Expense_Input!D24="","",Expense_Input!D24)</f>
        <v>300</v>
      </c>
      <c r="F24" t="str">
        <f>IF(Expense_Input!E24="","",Expense_Input!E24)</f>
        <v>Shopping</v>
      </c>
      <c r="G24" t="str">
        <f>IF(Expense_Input!H24="","",Expense_Input!H24)</f>
        <v>Personal Expense</v>
      </c>
      <c r="H24" t="str">
        <f>IF(Expense_Input!I24="","Auto",Expense_Input!I24)</f>
        <v>Taxable</v>
      </c>
      <c r="I24" t="str">
        <f>IF(F24="","",IFERROR(VLOOKUP(F24,Sales_Tax_Settings!$A$15:$B$27,2,FALSE),"Tax Unknown"))</f>
        <v>Taxable</v>
      </c>
      <c r="J24" t="str">
        <f t="shared" si="1"/>
        <v>Taxable</v>
      </c>
      <c r="K24" t="str">
        <f>IF(AND(Sales_Tax_Settings!$B$5="Yes",G24="Personal Expense",J24="Taxable"),"Yes","No")</f>
        <v>Yes</v>
      </c>
      <c r="L24" s="4">
        <f t="shared" si="2"/>
        <v>300</v>
      </c>
      <c r="M24" s="4">
        <f t="shared" si="3"/>
        <v>0</v>
      </c>
      <c r="N24" s="4">
        <f t="shared" si="4"/>
        <v>0</v>
      </c>
      <c r="O24" s="4">
        <f t="shared" si="5"/>
        <v>0</v>
      </c>
      <c r="P24" s="4">
        <f>IF(K24&lt;&gt;"Yes",0,IF(Sales_Tax_Settings!$B$6="Yes",E24/(1+Sales_Tax_Settings!$B$10),E24))</f>
        <v>260.92628832354859</v>
      </c>
      <c r="Q24" s="4">
        <f>IF(K24&lt;&gt;"Yes",0,P24*Sales_Tax_Settings!$B$8)</f>
        <v>13.046314416177431</v>
      </c>
      <c r="R24" s="4">
        <f>IF(K24&lt;&gt;"Yes",0,P24*Sales_Tax_Settings!$B$9)</f>
        <v>26.027397260273972</v>
      </c>
      <c r="S24" s="4">
        <f t="shared" si="6"/>
        <v>39.073711676451403</v>
      </c>
    </row>
    <row r="25" spans="1:19" x14ac:dyDescent="0.3">
      <c r="A25" t="str">
        <f>IF(Expense_Input!A25="","",Expense_Input!A25)</f>
        <v>EXP-0022</v>
      </c>
      <c r="B25">
        <f>IF(Expense_Input!B25="","",Expense_Input!B25)</f>
        <v>46066</v>
      </c>
      <c r="C25" t="str">
        <f t="shared" si="0"/>
        <v>2026-02</v>
      </c>
      <c r="D25" t="str">
        <f>IF(Expense_Input!C25="","",Expense_Input!C25)</f>
        <v>Medical supplies</v>
      </c>
      <c r="E25" s="4">
        <f>IF(Expense_Input!D25="","",Expense_Input!D25)</f>
        <v>100</v>
      </c>
      <c r="F25" t="str">
        <f>IF(Expense_Input!E25="","",Expense_Input!E25)</f>
        <v>Medical</v>
      </c>
      <c r="G25" t="str">
        <f>IF(Expense_Input!H25="","",Expense_Input!H25)</f>
        <v>Personal Expense</v>
      </c>
      <c r="H25" t="str">
        <f>IF(Expense_Input!I25="","Auto",Expense_Input!I25)</f>
        <v>Exempt</v>
      </c>
      <c r="I25" t="str">
        <f>IF(F25="","",IFERROR(VLOOKUP(F25,Sales_Tax_Settings!$A$15:$B$27,2,FALSE),"Tax Unknown"))</f>
        <v>Exempt</v>
      </c>
      <c r="J25" t="str">
        <f t="shared" si="1"/>
        <v>Exempt</v>
      </c>
      <c r="K25" t="str">
        <f>IF(AND(Sales_Tax_Settings!$B$5="Yes",G25="Personal Expense",J25="Taxable"),"Yes","No")</f>
        <v>No</v>
      </c>
      <c r="L25" s="4">
        <f t="shared" si="2"/>
        <v>0</v>
      </c>
      <c r="M25" s="4">
        <f t="shared" si="3"/>
        <v>0</v>
      </c>
      <c r="N25" s="4">
        <f t="shared" si="4"/>
        <v>100</v>
      </c>
      <c r="O25" s="4">
        <f t="shared" si="5"/>
        <v>0</v>
      </c>
      <c r="P25" s="4">
        <f>IF(K25&lt;&gt;"Yes",0,IF(Sales_Tax_Settings!$B$6="Yes",E25/(1+Sales_Tax_Settings!$B$10),E25))</f>
        <v>0</v>
      </c>
      <c r="Q25" s="4">
        <f>IF(K25&lt;&gt;"Yes",0,P25*Sales_Tax_Settings!$B$8)</f>
        <v>0</v>
      </c>
      <c r="R25" s="4">
        <f>IF(K25&lt;&gt;"Yes",0,P25*Sales_Tax_Settings!$B$9)</f>
        <v>0</v>
      </c>
      <c r="S25" s="4">
        <f t="shared" si="6"/>
        <v>0</v>
      </c>
    </row>
    <row r="26" spans="1:19" x14ac:dyDescent="0.3">
      <c r="A26" t="str">
        <f>IF(Expense_Input!A26="","",Expense_Input!A26)</f>
        <v>EXP-0023</v>
      </c>
      <c r="B26">
        <f>IF(Expense_Input!B26="","",Expense_Input!B26)</f>
        <v>46068</v>
      </c>
      <c r="C26" t="str">
        <f t="shared" si="0"/>
        <v>2026-02</v>
      </c>
      <c r="D26" t="str">
        <f>IF(Expense_Input!C26="","",Expense_Input!C26)</f>
        <v>Gym membership</v>
      </c>
      <c r="E26" s="4">
        <f>IF(Expense_Input!D26="","",Expense_Input!D26)</f>
        <v>70</v>
      </c>
      <c r="F26" t="str">
        <f>IF(Expense_Input!E26="","",Expense_Input!E26)</f>
        <v>Fitness</v>
      </c>
      <c r="G26" t="str">
        <f>IF(Expense_Input!H26="","",Expense_Input!H26)</f>
        <v>Personal Expense</v>
      </c>
      <c r="H26" t="str">
        <f>IF(Expense_Input!I26="","Auto",Expense_Input!I26)</f>
        <v>Taxable</v>
      </c>
      <c r="I26" t="str">
        <f>IF(F26="","",IFERROR(VLOOKUP(F26,Sales_Tax_Settings!$A$15:$B$27,2,FALSE),"Tax Unknown"))</f>
        <v>Taxable</v>
      </c>
      <c r="J26" t="str">
        <f t="shared" si="1"/>
        <v>Taxable</v>
      </c>
      <c r="K26" t="str">
        <f>IF(AND(Sales_Tax_Settings!$B$5="Yes",G26="Personal Expense",J26="Taxable"),"Yes","No")</f>
        <v>Yes</v>
      </c>
      <c r="L26" s="4">
        <f t="shared" si="2"/>
        <v>70</v>
      </c>
      <c r="M26" s="4">
        <f t="shared" si="3"/>
        <v>0</v>
      </c>
      <c r="N26" s="4">
        <f t="shared" si="4"/>
        <v>0</v>
      </c>
      <c r="O26" s="4">
        <f t="shared" si="5"/>
        <v>0</v>
      </c>
      <c r="P26" s="4">
        <f>IF(K26&lt;&gt;"Yes",0,IF(Sales_Tax_Settings!$B$6="Yes",E26/(1+Sales_Tax_Settings!$B$10),E26))</f>
        <v>60.882800608828006</v>
      </c>
      <c r="Q26" s="4">
        <f>IF(K26&lt;&gt;"Yes",0,P26*Sales_Tax_Settings!$B$8)</f>
        <v>3.0441400304414006</v>
      </c>
      <c r="R26" s="4">
        <f>IF(K26&lt;&gt;"Yes",0,P26*Sales_Tax_Settings!$B$9)</f>
        <v>6.0730593607305936</v>
      </c>
      <c r="S26" s="4">
        <f t="shared" si="6"/>
        <v>9.1171993911719937</v>
      </c>
    </row>
    <row r="27" spans="1:19" x14ac:dyDescent="0.3">
      <c r="A27" t="str">
        <f>IF(Expense_Input!A27="","",Expense_Input!A27)</f>
        <v>EXP-0024</v>
      </c>
      <c r="B27">
        <f>IF(Expense_Input!B27="","",Expense_Input!B27)</f>
        <v>46070</v>
      </c>
      <c r="C27" t="str">
        <f t="shared" si="0"/>
        <v>2026-02</v>
      </c>
      <c r="D27" t="str">
        <f>IF(Expense_Input!C27="","",Expense_Input!C27)</f>
        <v>Online course</v>
      </c>
      <c r="E27" s="4">
        <f>IF(Expense_Input!D27="","",Expense_Input!D27)</f>
        <v>140</v>
      </c>
      <c r="F27" t="str">
        <f>IF(Expense_Input!E27="","",Expense_Input!E27)</f>
        <v>Education</v>
      </c>
      <c r="G27" t="str">
        <f>IF(Expense_Input!H27="","",Expense_Input!H27)</f>
        <v>Personal Expense</v>
      </c>
      <c r="H27" t="str">
        <f>IF(Expense_Input!I27="","Auto",Expense_Input!I27)</f>
        <v>Tax Unknown</v>
      </c>
      <c r="I27" t="str">
        <f>IF(F27="","",IFERROR(VLOOKUP(F27,Sales_Tax_Settings!$A$15:$B$27,2,FALSE),"Tax Unknown"))</f>
        <v>Tax Unknown</v>
      </c>
      <c r="J27" t="str">
        <f t="shared" si="1"/>
        <v>Tax Unknown</v>
      </c>
      <c r="K27" t="str">
        <f>IF(AND(Sales_Tax_Settings!$B$5="Yes",G27="Personal Expense",J27="Taxable"),"Yes","No")</f>
        <v>No</v>
      </c>
      <c r="L27" s="4">
        <f t="shared" si="2"/>
        <v>0</v>
      </c>
      <c r="M27" s="4">
        <f t="shared" si="3"/>
        <v>0</v>
      </c>
      <c r="N27" s="4">
        <f t="shared" si="4"/>
        <v>0</v>
      </c>
      <c r="O27" s="4">
        <f t="shared" si="5"/>
        <v>140</v>
      </c>
      <c r="P27" s="4">
        <f>IF(K27&lt;&gt;"Yes",0,IF(Sales_Tax_Settings!$B$6="Yes",E27/(1+Sales_Tax_Settings!$B$10),E27))</f>
        <v>0</v>
      </c>
      <c r="Q27" s="4">
        <f>IF(K27&lt;&gt;"Yes",0,P27*Sales_Tax_Settings!$B$8)</f>
        <v>0</v>
      </c>
      <c r="R27" s="4">
        <f>IF(K27&lt;&gt;"Yes",0,P27*Sales_Tax_Settings!$B$9)</f>
        <v>0</v>
      </c>
      <c r="S27" s="4">
        <f t="shared" si="6"/>
        <v>0</v>
      </c>
    </row>
    <row r="28" spans="1:19" x14ac:dyDescent="0.3">
      <c r="A28" t="str">
        <f>IF(Expense_Input!A28="","",Expense_Input!A28)</f>
        <v>EXP-0025</v>
      </c>
      <c r="B28">
        <f>IF(Expense_Input!B28="","",Expense_Input!B28)</f>
        <v>46072</v>
      </c>
      <c r="C28" t="str">
        <f t="shared" si="0"/>
        <v>2026-02</v>
      </c>
      <c r="D28" t="str">
        <f>IF(Expense_Input!C28="","",Expense_Input!C28)</f>
        <v>Pet supplies</v>
      </c>
      <c r="E28" s="4">
        <f>IF(Expense_Input!D28="","",Expense_Input!D28)</f>
        <v>100</v>
      </c>
      <c r="F28" t="str">
        <f>IF(Expense_Input!E28="","",Expense_Input!E28)</f>
        <v>Pet</v>
      </c>
      <c r="G28" t="str">
        <f>IF(Expense_Input!H28="","",Expense_Input!H28)</f>
        <v>Personal Expense</v>
      </c>
      <c r="H28" t="str">
        <f>IF(Expense_Input!I28="","Auto",Expense_Input!I28)</f>
        <v>Taxable</v>
      </c>
      <c r="I28" t="str">
        <f>IF(F28="","",IFERROR(VLOOKUP(F28,Sales_Tax_Settings!$A$15:$B$27,2,FALSE),"Tax Unknown"))</f>
        <v>Taxable</v>
      </c>
      <c r="J28" t="str">
        <f t="shared" si="1"/>
        <v>Taxable</v>
      </c>
      <c r="K28" t="str">
        <f>IF(AND(Sales_Tax_Settings!$B$5="Yes",G28="Personal Expense",J28="Taxable"),"Yes","No")</f>
        <v>Yes</v>
      </c>
      <c r="L28" s="4">
        <f t="shared" si="2"/>
        <v>100</v>
      </c>
      <c r="M28" s="4">
        <f t="shared" si="3"/>
        <v>0</v>
      </c>
      <c r="N28" s="4">
        <f t="shared" si="4"/>
        <v>0</v>
      </c>
      <c r="O28" s="4">
        <f t="shared" si="5"/>
        <v>0</v>
      </c>
      <c r="P28" s="4">
        <f>IF(K28&lt;&gt;"Yes",0,IF(Sales_Tax_Settings!$B$6="Yes",E28/(1+Sales_Tax_Settings!$B$10),E28))</f>
        <v>86.975429441182868</v>
      </c>
      <c r="Q28" s="4">
        <f>IF(K28&lt;&gt;"Yes",0,P28*Sales_Tax_Settings!$B$8)</f>
        <v>4.3487714720591439</v>
      </c>
      <c r="R28" s="4">
        <f>IF(K28&lt;&gt;"Yes",0,P28*Sales_Tax_Settings!$B$9)</f>
        <v>8.6757990867579924</v>
      </c>
      <c r="S28" s="4">
        <f t="shared" si="6"/>
        <v>13.024570558817135</v>
      </c>
    </row>
    <row r="29" spans="1:19" x14ac:dyDescent="0.3">
      <c r="A29" t="str">
        <f>IF(Expense_Input!A29="","",Expense_Input!A29)</f>
        <v>EXP-0026</v>
      </c>
      <c r="B29">
        <f>IF(Expense_Input!B29="","",Expense_Input!B29)</f>
        <v>46074</v>
      </c>
      <c r="C29" t="str">
        <f t="shared" si="0"/>
        <v>2026-02</v>
      </c>
      <c r="D29" t="str">
        <f>IF(Expense_Input!C29="","",Expense_Input!C29)</f>
        <v>Entertainment activity</v>
      </c>
      <c r="E29" s="4">
        <f>IF(Expense_Input!D29="","",Expense_Input!D29)</f>
        <v>120</v>
      </c>
      <c r="F29" t="str">
        <f>IF(Expense_Input!E29="","",Expense_Input!E29)</f>
        <v>Entertainment</v>
      </c>
      <c r="G29" t="str">
        <f>IF(Expense_Input!H29="","",Expense_Input!H29)</f>
        <v>Personal Expense</v>
      </c>
      <c r="H29" t="str">
        <f>IF(Expense_Input!I29="","Auto",Expense_Input!I29)</f>
        <v>Taxable</v>
      </c>
      <c r="I29" t="str">
        <f>IF(F29="","",IFERROR(VLOOKUP(F29,Sales_Tax_Settings!$A$15:$B$27,2,FALSE),"Tax Unknown"))</f>
        <v>Taxable</v>
      </c>
      <c r="J29" t="str">
        <f t="shared" si="1"/>
        <v>Taxable</v>
      </c>
      <c r="K29" t="str">
        <f>IF(AND(Sales_Tax_Settings!$B$5="Yes",G29="Personal Expense",J29="Taxable"),"Yes","No")</f>
        <v>Yes</v>
      </c>
      <c r="L29" s="4">
        <f t="shared" si="2"/>
        <v>120</v>
      </c>
      <c r="M29" s="4">
        <f t="shared" si="3"/>
        <v>0</v>
      </c>
      <c r="N29" s="4">
        <f t="shared" si="4"/>
        <v>0</v>
      </c>
      <c r="O29" s="4">
        <f t="shared" si="5"/>
        <v>0</v>
      </c>
      <c r="P29" s="4">
        <f>IF(K29&lt;&gt;"Yes",0,IF(Sales_Tax_Settings!$B$6="Yes",E29/(1+Sales_Tax_Settings!$B$10),E29))</f>
        <v>104.37051532941943</v>
      </c>
      <c r="Q29" s="4">
        <f>IF(K29&lt;&gt;"Yes",0,P29*Sales_Tax_Settings!$B$8)</f>
        <v>5.2185257664709717</v>
      </c>
      <c r="R29" s="4">
        <f>IF(K29&lt;&gt;"Yes",0,P29*Sales_Tax_Settings!$B$9)</f>
        <v>10.41095890410959</v>
      </c>
      <c r="S29" s="4">
        <f t="shared" si="6"/>
        <v>15.629484670580561</v>
      </c>
    </row>
    <row r="30" spans="1:19" x14ac:dyDescent="0.3">
      <c r="A30" t="str">
        <f>IF(Expense_Input!A30="","",Expense_Input!A30)</f>
        <v>EXP-0027</v>
      </c>
      <c r="B30">
        <f>IF(Expense_Input!B30="","",Expense_Input!B30)</f>
        <v>46076</v>
      </c>
      <c r="C30" t="str">
        <f t="shared" si="0"/>
        <v>2026-02</v>
      </c>
      <c r="D30" t="str">
        <f>IF(Expense_Input!C30="","",Expense_Input!C30)</f>
        <v>Government fee</v>
      </c>
      <c r="E30" s="4">
        <f>IF(Expense_Input!D30="","",Expense_Input!D30)</f>
        <v>150</v>
      </c>
      <c r="F30" t="str">
        <f>IF(Expense_Input!E30="","",Expense_Input!E30)</f>
        <v>Taxes &amp; Gov Fees</v>
      </c>
      <c r="G30" t="str">
        <f>IF(Expense_Input!H30="","",Expense_Input!H30)</f>
        <v>Personal Expense</v>
      </c>
      <c r="H30" t="str">
        <f>IF(Expense_Input!I30="","Auto",Expense_Input!I30)</f>
        <v>Not Applicable</v>
      </c>
      <c r="I30" t="str">
        <f>IF(F30="","",IFERROR(VLOOKUP(F30,Sales_Tax_Settings!$A$15:$B$27,2,FALSE),"Tax Unknown"))</f>
        <v>Not Applicable</v>
      </c>
      <c r="J30" t="str">
        <f t="shared" si="1"/>
        <v>Not Applicable</v>
      </c>
      <c r="K30" t="str">
        <f>IF(AND(Sales_Tax_Settings!$B$5="Yes",G30="Personal Expense",J30="Taxable"),"Yes","No")</f>
        <v>No</v>
      </c>
      <c r="L30" s="4">
        <f t="shared" si="2"/>
        <v>0</v>
      </c>
      <c r="M30" s="4">
        <f t="shared" si="3"/>
        <v>0</v>
      </c>
      <c r="N30" s="4">
        <f t="shared" si="4"/>
        <v>0</v>
      </c>
      <c r="O30" s="4">
        <f t="shared" si="5"/>
        <v>150</v>
      </c>
      <c r="P30" s="4">
        <f>IF(K30&lt;&gt;"Yes",0,IF(Sales_Tax_Settings!$B$6="Yes",E30/(1+Sales_Tax_Settings!$B$10),E30))</f>
        <v>0</v>
      </c>
      <c r="Q30" s="4">
        <f>IF(K30&lt;&gt;"Yes",0,P30*Sales_Tax_Settings!$B$8)</f>
        <v>0</v>
      </c>
      <c r="R30" s="4">
        <f>IF(K30&lt;&gt;"Yes",0,P30*Sales_Tax_Settings!$B$9)</f>
        <v>0</v>
      </c>
      <c r="S30" s="4">
        <f t="shared" si="6"/>
        <v>0</v>
      </c>
    </row>
    <row r="31" spans="1:19" x14ac:dyDescent="0.3">
      <c r="A31" t="str">
        <f>IF(Expense_Input!A31="","",Expense_Input!A31)</f>
        <v>EXP-0028</v>
      </c>
      <c r="B31">
        <f>IF(Expense_Input!B31="","",Expense_Input!B31)</f>
        <v>46079</v>
      </c>
      <c r="C31" t="str">
        <f t="shared" si="0"/>
        <v>2026-02</v>
      </c>
      <c r="D31" t="str">
        <f>IF(Expense_Input!C31="","",Expense_Input!C31)</f>
        <v>Miscellaneous</v>
      </c>
      <c r="E31" s="4">
        <f>IF(Expense_Input!D31="","",Expense_Input!D31)</f>
        <v>85</v>
      </c>
      <c r="F31" t="str">
        <f>IF(Expense_Input!E31="","",Expense_Input!E31)</f>
        <v>Other</v>
      </c>
      <c r="G31" t="str">
        <f>IF(Expense_Input!H31="","",Expense_Input!H31)</f>
        <v>Personal Expense</v>
      </c>
      <c r="H31" t="str">
        <f>IF(Expense_Input!I31="","Auto",Expense_Input!I31)</f>
        <v>Tax Unknown</v>
      </c>
      <c r="I31" t="str">
        <f>IF(F31="","",IFERROR(VLOOKUP(F31,Sales_Tax_Settings!$A$15:$B$27,2,FALSE),"Tax Unknown"))</f>
        <v>Tax Unknown</v>
      </c>
      <c r="J31" t="str">
        <f t="shared" si="1"/>
        <v>Tax Unknown</v>
      </c>
      <c r="K31" t="str">
        <f>IF(AND(Sales_Tax_Settings!$B$5="Yes",G31="Personal Expense",J31="Taxable"),"Yes","No")</f>
        <v>No</v>
      </c>
      <c r="L31" s="4">
        <f t="shared" si="2"/>
        <v>0</v>
      </c>
      <c r="M31" s="4">
        <f t="shared" si="3"/>
        <v>0</v>
      </c>
      <c r="N31" s="4">
        <f t="shared" si="4"/>
        <v>0</v>
      </c>
      <c r="O31" s="4">
        <f t="shared" si="5"/>
        <v>85</v>
      </c>
      <c r="P31" s="4">
        <f>IF(K31&lt;&gt;"Yes",0,IF(Sales_Tax_Settings!$B$6="Yes",E31/(1+Sales_Tax_Settings!$B$10),E31))</f>
        <v>0</v>
      </c>
      <c r="Q31" s="4">
        <f>IF(K31&lt;&gt;"Yes",0,P31*Sales_Tax_Settings!$B$8)</f>
        <v>0</v>
      </c>
      <c r="R31" s="4">
        <f>IF(K31&lt;&gt;"Yes",0,P31*Sales_Tax_Settings!$B$9)</f>
        <v>0</v>
      </c>
      <c r="S31" s="4">
        <f t="shared" si="6"/>
        <v>0</v>
      </c>
    </row>
    <row r="32" spans="1:19" x14ac:dyDescent="0.3">
      <c r="A32" t="str">
        <f>IF(Expense_Input!A32="","",Expense_Input!A32)</f>
        <v/>
      </c>
      <c r="B32" t="str">
        <f>IF(Expense_Input!B32="","",Expense_Input!B32)</f>
        <v/>
      </c>
      <c r="C32" t="str">
        <f t="shared" si="0"/>
        <v/>
      </c>
      <c r="D32" t="str">
        <f>IF(Expense_Input!C32="","",Expense_Input!C32)</f>
        <v/>
      </c>
      <c r="E32" s="4" t="str">
        <f>IF(Expense_Input!D32="","",Expense_Input!D32)</f>
        <v/>
      </c>
      <c r="F32" t="str">
        <f>IF(Expense_Input!E32="","",Expense_Input!E32)</f>
        <v/>
      </c>
      <c r="G32" t="str">
        <f>IF(Expense_Input!H32="","",Expense_Input!H32)</f>
        <v/>
      </c>
      <c r="H32" t="str">
        <f>IF(Expense_Input!I32="","Auto",Expense_Input!I32)</f>
        <v>Auto</v>
      </c>
      <c r="I32" t="str">
        <f>IF(F32="","",IFERROR(VLOOKUP(F32,Sales_Tax_Settings!$A$15:$B$27,2,FALSE),"Tax Unknown"))</f>
        <v/>
      </c>
      <c r="J32" t="str">
        <f t="shared" si="1"/>
        <v/>
      </c>
      <c r="K32" t="str">
        <f>IF(AND(Sales_Tax_Settings!$B$5="Yes",G32="Personal Expense",J32="Taxable"),"Yes","No")</f>
        <v>No</v>
      </c>
      <c r="L32" s="4">
        <f t="shared" si="2"/>
        <v>0</v>
      </c>
      <c r="M32" s="4">
        <f t="shared" si="3"/>
        <v>0</v>
      </c>
      <c r="N32" s="4">
        <f t="shared" si="4"/>
        <v>0</v>
      </c>
      <c r="O32" s="4">
        <f t="shared" si="5"/>
        <v>0</v>
      </c>
      <c r="P32" s="4">
        <f>IF(K32&lt;&gt;"Yes",0,IF(Sales_Tax_Settings!$B$6="Yes",E32/(1+Sales_Tax_Settings!$B$10),E32))</f>
        <v>0</v>
      </c>
      <c r="Q32" s="4">
        <f>IF(K32&lt;&gt;"Yes",0,P32*Sales_Tax_Settings!$B$8)</f>
        <v>0</v>
      </c>
      <c r="R32" s="4">
        <f>IF(K32&lt;&gt;"Yes",0,P32*Sales_Tax_Settings!$B$9)</f>
        <v>0</v>
      </c>
      <c r="S32" s="4">
        <f t="shared" si="6"/>
        <v>0</v>
      </c>
    </row>
    <row r="33" spans="1:19" x14ac:dyDescent="0.3">
      <c r="A33" t="str">
        <f>IF(Expense_Input!A33="","",Expense_Input!A33)</f>
        <v/>
      </c>
      <c r="B33" t="str">
        <f>IF(Expense_Input!B33="","",Expense_Input!B33)</f>
        <v/>
      </c>
      <c r="C33" t="str">
        <f t="shared" si="0"/>
        <v/>
      </c>
      <c r="D33" t="str">
        <f>IF(Expense_Input!C33="","",Expense_Input!C33)</f>
        <v/>
      </c>
      <c r="E33" s="4" t="str">
        <f>IF(Expense_Input!D33="","",Expense_Input!D33)</f>
        <v/>
      </c>
      <c r="F33" t="str">
        <f>IF(Expense_Input!E33="","",Expense_Input!E33)</f>
        <v/>
      </c>
      <c r="G33" t="str">
        <f>IF(Expense_Input!H33="","",Expense_Input!H33)</f>
        <v/>
      </c>
      <c r="H33" t="str">
        <f>IF(Expense_Input!I33="","Auto",Expense_Input!I33)</f>
        <v>Auto</v>
      </c>
      <c r="I33" t="str">
        <f>IF(F33="","",IFERROR(VLOOKUP(F33,Sales_Tax_Settings!$A$15:$B$27,2,FALSE),"Tax Unknown"))</f>
        <v/>
      </c>
      <c r="J33" t="str">
        <f t="shared" si="1"/>
        <v/>
      </c>
      <c r="K33" t="str">
        <f>IF(AND(Sales_Tax_Settings!$B$5="Yes",G33="Personal Expense",J33="Taxable"),"Yes","No")</f>
        <v>No</v>
      </c>
      <c r="L33" s="4">
        <f t="shared" si="2"/>
        <v>0</v>
      </c>
      <c r="M33" s="4">
        <f t="shared" si="3"/>
        <v>0</v>
      </c>
      <c r="N33" s="4">
        <f t="shared" si="4"/>
        <v>0</v>
      </c>
      <c r="O33" s="4">
        <f t="shared" si="5"/>
        <v>0</v>
      </c>
      <c r="P33" s="4">
        <f>IF(K33&lt;&gt;"Yes",0,IF(Sales_Tax_Settings!$B$6="Yes",E33/(1+Sales_Tax_Settings!$B$10),E33))</f>
        <v>0</v>
      </c>
      <c r="Q33" s="4">
        <f>IF(K33&lt;&gt;"Yes",0,P33*Sales_Tax_Settings!$B$8)</f>
        <v>0</v>
      </c>
      <c r="R33" s="4">
        <f>IF(K33&lt;&gt;"Yes",0,P33*Sales_Tax_Settings!$B$9)</f>
        <v>0</v>
      </c>
      <c r="S33" s="4">
        <f t="shared" si="6"/>
        <v>0</v>
      </c>
    </row>
    <row r="34" spans="1:19" x14ac:dyDescent="0.3">
      <c r="A34" t="str">
        <f>IF(Expense_Input!A34="","",Expense_Input!A34)</f>
        <v/>
      </c>
      <c r="B34" t="str">
        <f>IF(Expense_Input!B34="","",Expense_Input!B34)</f>
        <v/>
      </c>
      <c r="C34" t="str">
        <f t="shared" si="0"/>
        <v/>
      </c>
      <c r="D34" t="str">
        <f>IF(Expense_Input!C34="","",Expense_Input!C34)</f>
        <v/>
      </c>
      <c r="E34" s="4" t="str">
        <f>IF(Expense_Input!D34="","",Expense_Input!D34)</f>
        <v/>
      </c>
      <c r="F34" t="str">
        <f>IF(Expense_Input!E34="","",Expense_Input!E34)</f>
        <v/>
      </c>
      <c r="G34" t="str">
        <f>IF(Expense_Input!H34="","",Expense_Input!H34)</f>
        <v/>
      </c>
      <c r="H34" t="str">
        <f>IF(Expense_Input!I34="","Auto",Expense_Input!I34)</f>
        <v>Auto</v>
      </c>
      <c r="I34" t="str">
        <f>IF(F34="","",IFERROR(VLOOKUP(F34,Sales_Tax_Settings!$A$15:$B$27,2,FALSE),"Tax Unknown"))</f>
        <v/>
      </c>
      <c r="J34" t="str">
        <f t="shared" si="1"/>
        <v/>
      </c>
      <c r="K34" t="str">
        <f>IF(AND(Sales_Tax_Settings!$B$5="Yes",G34="Personal Expense",J34="Taxable"),"Yes","No")</f>
        <v>No</v>
      </c>
      <c r="L34" s="4">
        <f t="shared" si="2"/>
        <v>0</v>
      </c>
      <c r="M34" s="4">
        <f t="shared" si="3"/>
        <v>0</v>
      </c>
      <c r="N34" s="4">
        <f t="shared" si="4"/>
        <v>0</v>
      </c>
      <c r="O34" s="4">
        <f t="shared" si="5"/>
        <v>0</v>
      </c>
      <c r="P34" s="4">
        <f>IF(K34&lt;&gt;"Yes",0,IF(Sales_Tax_Settings!$B$6="Yes",E34/(1+Sales_Tax_Settings!$B$10),E34))</f>
        <v>0</v>
      </c>
      <c r="Q34" s="4">
        <f>IF(K34&lt;&gt;"Yes",0,P34*Sales_Tax_Settings!$B$8)</f>
        <v>0</v>
      </c>
      <c r="R34" s="4">
        <f>IF(K34&lt;&gt;"Yes",0,P34*Sales_Tax_Settings!$B$9)</f>
        <v>0</v>
      </c>
      <c r="S34" s="4">
        <f t="shared" si="6"/>
        <v>0</v>
      </c>
    </row>
    <row r="35" spans="1:19" x14ac:dyDescent="0.3">
      <c r="A35" t="str">
        <f>IF(Expense_Input!A35="","",Expense_Input!A35)</f>
        <v/>
      </c>
      <c r="B35" t="str">
        <f>IF(Expense_Input!B35="","",Expense_Input!B35)</f>
        <v/>
      </c>
      <c r="C35" t="str">
        <f t="shared" si="0"/>
        <v/>
      </c>
      <c r="D35" t="str">
        <f>IF(Expense_Input!C35="","",Expense_Input!C35)</f>
        <v/>
      </c>
      <c r="E35" s="4" t="str">
        <f>IF(Expense_Input!D35="","",Expense_Input!D35)</f>
        <v/>
      </c>
      <c r="F35" t="str">
        <f>IF(Expense_Input!E35="","",Expense_Input!E35)</f>
        <v/>
      </c>
      <c r="G35" t="str">
        <f>IF(Expense_Input!H35="","",Expense_Input!H35)</f>
        <v/>
      </c>
      <c r="H35" t="str">
        <f>IF(Expense_Input!I35="","Auto",Expense_Input!I35)</f>
        <v>Auto</v>
      </c>
      <c r="I35" t="str">
        <f>IF(F35="","",IFERROR(VLOOKUP(F35,Sales_Tax_Settings!$A$15:$B$27,2,FALSE),"Tax Unknown"))</f>
        <v/>
      </c>
      <c r="J35" t="str">
        <f t="shared" si="1"/>
        <v/>
      </c>
      <c r="K35" t="str">
        <f>IF(AND(Sales_Tax_Settings!$B$5="Yes",G35="Personal Expense",J35="Taxable"),"Yes","No")</f>
        <v>No</v>
      </c>
      <c r="L35" s="4">
        <f t="shared" si="2"/>
        <v>0</v>
      </c>
      <c r="M35" s="4">
        <f t="shared" si="3"/>
        <v>0</v>
      </c>
      <c r="N35" s="4">
        <f t="shared" si="4"/>
        <v>0</v>
      </c>
      <c r="O35" s="4">
        <f t="shared" si="5"/>
        <v>0</v>
      </c>
      <c r="P35" s="4">
        <f>IF(K35&lt;&gt;"Yes",0,IF(Sales_Tax_Settings!$B$6="Yes",E35/(1+Sales_Tax_Settings!$B$10),E35))</f>
        <v>0</v>
      </c>
      <c r="Q35" s="4">
        <f>IF(K35&lt;&gt;"Yes",0,P35*Sales_Tax_Settings!$B$8)</f>
        <v>0</v>
      </c>
      <c r="R35" s="4">
        <f>IF(K35&lt;&gt;"Yes",0,P35*Sales_Tax_Settings!$B$9)</f>
        <v>0</v>
      </c>
      <c r="S35" s="4">
        <f t="shared" si="6"/>
        <v>0</v>
      </c>
    </row>
    <row r="36" spans="1:19" x14ac:dyDescent="0.3">
      <c r="A36" t="str">
        <f>IF(Expense_Input!A36="","",Expense_Input!A36)</f>
        <v/>
      </c>
      <c r="B36" t="str">
        <f>IF(Expense_Input!B36="","",Expense_Input!B36)</f>
        <v/>
      </c>
      <c r="C36" t="str">
        <f t="shared" si="0"/>
        <v/>
      </c>
      <c r="D36" t="str">
        <f>IF(Expense_Input!C36="","",Expense_Input!C36)</f>
        <v/>
      </c>
      <c r="E36" s="4" t="str">
        <f>IF(Expense_Input!D36="","",Expense_Input!D36)</f>
        <v/>
      </c>
      <c r="F36" t="str">
        <f>IF(Expense_Input!E36="","",Expense_Input!E36)</f>
        <v/>
      </c>
      <c r="G36" t="str">
        <f>IF(Expense_Input!H36="","",Expense_Input!H36)</f>
        <v/>
      </c>
      <c r="H36" t="str">
        <f>IF(Expense_Input!I36="","Auto",Expense_Input!I36)</f>
        <v>Auto</v>
      </c>
      <c r="I36" t="str">
        <f>IF(F36="","",IFERROR(VLOOKUP(F36,Sales_Tax_Settings!$A$15:$B$27,2,FALSE),"Tax Unknown"))</f>
        <v/>
      </c>
      <c r="J36" t="str">
        <f t="shared" si="1"/>
        <v/>
      </c>
      <c r="K36" t="str">
        <f>IF(AND(Sales_Tax_Settings!$B$5="Yes",G36="Personal Expense",J36="Taxable"),"Yes","No")</f>
        <v>No</v>
      </c>
      <c r="L36" s="4">
        <f t="shared" si="2"/>
        <v>0</v>
      </c>
      <c r="M36" s="4">
        <f t="shared" si="3"/>
        <v>0</v>
      </c>
      <c r="N36" s="4">
        <f t="shared" si="4"/>
        <v>0</v>
      </c>
      <c r="O36" s="4">
        <f t="shared" si="5"/>
        <v>0</v>
      </c>
      <c r="P36" s="4">
        <f>IF(K36&lt;&gt;"Yes",0,IF(Sales_Tax_Settings!$B$6="Yes",E36/(1+Sales_Tax_Settings!$B$10),E36))</f>
        <v>0</v>
      </c>
      <c r="Q36" s="4">
        <f>IF(K36&lt;&gt;"Yes",0,P36*Sales_Tax_Settings!$B$8)</f>
        <v>0</v>
      </c>
      <c r="R36" s="4">
        <f>IF(K36&lt;&gt;"Yes",0,P36*Sales_Tax_Settings!$B$9)</f>
        <v>0</v>
      </c>
      <c r="S36" s="4">
        <f t="shared" si="6"/>
        <v>0</v>
      </c>
    </row>
    <row r="37" spans="1:19" x14ac:dyDescent="0.3">
      <c r="A37" t="str">
        <f>IF(Expense_Input!A37="","",Expense_Input!A37)</f>
        <v/>
      </c>
      <c r="B37" t="str">
        <f>IF(Expense_Input!B37="","",Expense_Input!B37)</f>
        <v/>
      </c>
      <c r="C37" t="str">
        <f t="shared" si="0"/>
        <v/>
      </c>
      <c r="D37" t="str">
        <f>IF(Expense_Input!C37="","",Expense_Input!C37)</f>
        <v/>
      </c>
      <c r="E37" s="4" t="str">
        <f>IF(Expense_Input!D37="","",Expense_Input!D37)</f>
        <v/>
      </c>
      <c r="F37" t="str">
        <f>IF(Expense_Input!E37="","",Expense_Input!E37)</f>
        <v/>
      </c>
      <c r="G37" t="str">
        <f>IF(Expense_Input!H37="","",Expense_Input!H37)</f>
        <v/>
      </c>
      <c r="H37" t="str">
        <f>IF(Expense_Input!I37="","Auto",Expense_Input!I37)</f>
        <v>Auto</v>
      </c>
      <c r="I37" t="str">
        <f>IF(F37="","",IFERROR(VLOOKUP(F37,Sales_Tax_Settings!$A$15:$B$27,2,FALSE),"Tax Unknown"))</f>
        <v/>
      </c>
      <c r="J37" t="str">
        <f t="shared" si="1"/>
        <v/>
      </c>
      <c r="K37" t="str">
        <f>IF(AND(Sales_Tax_Settings!$B$5="Yes",G37="Personal Expense",J37="Taxable"),"Yes","No")</f>
        <v>No</v>
      </c>
      <c r="L37" s="4">
        <f t="shared" si="2"/>
        <v>0</v>
      </c>
      <c r="M37" s="4">
        <f t="shared" si="3"/>
        <v>0</v>
      </c>
      <c r="N37" s="4">
        <f t="shared" si="4"/>
        <v>0</v>
      </c>
      <c r="O37" s="4">
        <f t="shared" si="5"/>
        <v>0</v>
      </c>
      <c r="P37" s="4">
        <f>IF(K37&lt;&gt;"Yes",0,IF(Sales_Tax_Settings!$B$6="Yes",E37/(1+Sales_Tax_Settings!$B$10),E37))</f>
        <v>0</v>
      </c>
      <c r="Q37" s="4">
        <f>IF(K37&lt;&gt;"Yes",0,P37*Sales_Tax_Settings!$B$8)</f>
        <v>0</v>
      </c>
      <c r="R37" s="4">
        <f>IF(K37&lt;&gt;"Yes",0,P37*Sales_Tax_Settings!$B$9)</f>
        <v>0</v>
      </c>
      <c r="S37" s="4">
        <f t="shared" si="6"/>
        <v>0</v>
      </c>
    </row>
    <row r="38" spans="1:19" x14ac:dyDescent="0.3">
      <c r="A38" t="str">
        <f>IF(Expense_Input!A38="","",Expense_Input!A38)</f>
        <v/>
      </c>
      <c r="B38" t="str">
        <f>IF(Expense_Input!B38="","",Expense_Input!B38)</f>
        <v/>
      </c>
      <c r="C38" t="str">
        <f t="shared" si="0"/>
        <v/>
      </c>
      <c r="D38" t="str">
        <f>IF(Expense_Input!C38="","",Expense_Input!C38)</f>
        <v/>
      </c>
      <c r="E38" s="4" t="str">
        <f>IF(Expense_Input!D38="","",Expense_Input!D38)</f>
        <v/>
      </c>
      <c r="F38" t="str">
        <f>IF(Expense_Input!E38="","",Expense_Input!E38)</f>
        <v/>
      </c>
      <c r="G38" t="str">
        <f>IF(Expense_Input!H38="","",Expense_Input!H38)</f>
        <v/>
      </c>
      <c r="H38" t="str">
        <f>IF(Expense_Input!I38="","Auto",Expense_Input!I38)</f>
        <v>Auto</v>
      </c>
      <c r="I38" t="str">
        <f>IF(F38="","",IFERROR(VLOOKUP(F38,Sales_Tax_Settings!$A$15:$B$27,2,FALSE),"Tax Unknown"))</f>
        <v/>
      </c>
      <c r="J38" t="str">
        <f t="shared" si="1"/>
        <v/>
      </c>
      <c r="K38" t="str">
        <f>IF(AND(Sales_Tax_Settings!$B$5="Yes",G38="Personal Expense",J38="Taxable"),"Yes","No")</f>
        <v>No</v>
      </c>
      <c r="L38" s="4">
        <f t="shared" si="2"/>
        <v>0</v>
      </c>
      <c r="M38" s="4">
        <f t="shared" si="3"/>
        <v>0</v>
      </c>
      <c r="N38" s="4">
        <f t="shared" si="4"/>
        <v>0</v>
      </c>
      <c r="O38" s="4">
        <f t="shared" si="5"/>
        <v>0</v>
      </c>
      <c r="P38" s="4">
        <f>IF(K38&lt;&gt;"Yes",0,IF(Sales_Tax_Settings!$B$6="Yes",E38/(1+Sales_Tax_Settings!$B$10),E38))</f>
        <v>0</v>
      </c>
      <c r="Q38" s="4">
        <f>IF(K38&lt;&gt;"Yes",0,P38*Sales_Tax_Settings!$B$8)</f>
        <v>0</v>
      </c>
      <c r="R38" s="4">
        <f>IF(K38&lt;&gt;"Yes",0,P38*Sales_Tax_Settings!$B$9)</f>
        <v>0</v>
      </c>
      <c r="S38" s="4">
        <f t="shared" si="6"/>
        <v>0</v>
      </c>
    </row>
    <row r="39" spans="1:19" x14ac:dyDescent="0.3">
      <c r="A39" t="str">
        <f>IF(Expense_Input!A39="","",Expense_Input!A39)</f>
        <v/>
      </c>
      <c r="B39" t="str">
        <f>IF(Expense_Input!B39="","",Expense_Input!B39)</f>
        <v/>
      </c>
      <c r="C39" t="str">
        <f t="shared" si="0"/>
        <v/>
      </c>
      <c r="D39" t="str">
        <f>IF(Expense_Input!C39="","",Expense_Input!C39)</f>
        <v/>
      </c>
      <c r="E39" s="4" t="str">
        <f>IF(Expense_Input!D39="","",Expense_Input!D39)</f>
        <v/>
      </c>
      <c r="F39" t="str">
        <f>IF(Expense_Input!E39="","",Expense_Input!E39)</f>
        <v/>
      </c>
      <c r="G39" t="str">
        <f>IF(Expense_Input!H39="","",Expense_Input!H39)</f>
        <v/>
      </c>
      <c r="H39" t="str">
        <f>IF(Expense_Input!I39="","Auto",Expense_Input!I39)</f>
        <v>Auto</v>
      </c>
      <c r="I39" t="str">
        <f>IF(F39="","",IFERROR(VLOOKUP(F39,Sales_Tax_Settings!$A$15:$B$27,2,FALSE),"Tax Unknown"))</f>
        <v/>
      </c>
      <c r="J39" t="str">
        <f t="shared" si="1"/>
        <v/>
      </c>
      <c r="K39" t="str">
        <f>IF(AND(Sales_Tax_Settings!$B$5="Yes",G39="Personal Expense",J39="Taxable"),"Yes","No")</f>
        <v>No</v>
      </c>
      <c r="L39" s="4">
        <f t="shared" si="2"/>
        <v>0</v>
      </c>
      <c r="M39" s="4">
        <f t="shared" si="3"/>
        <v>0</v>
      </c>
      <c r="N39" s="4">
        <f t="shared" si="4"/>
        <v>0</v>
      </c>
      <c r="O39" s="4">
        <f t="shared" si="5"/>
        <v>0</v>
      </c>
      <c r="P39" s="4">
        <f>IF(K39&lt;&gt;"Yes",0,IF(Sales_Tax_Settings!$B$6="Yes",E39/(1+Sales_Tax_Settings!$B$10),E39))</f>
        <v>0</v>
      </c>
      <c r="Q39" s="4">
        <f>IF(K39&lt;&gt;"Yes",0,P39*Sales_Tax_Settings!$B$8)</f>
        <v>0</v>
      </c>
      <c r="R39" s="4">
        <f>IF(K39&lt;&gt;"Yes",0,P39*Sales_Tax_Settings!$B$9)</f>
        <v>0</v>
      </c>
      <c r="S39" s="4">
        <f t="shared" si="6"/>
        <v>0</v>
      </c>
    </row>
    <row r="40" spans="1:19" x14ac:dyDescent="0.3">
      <c r="A40" t="str">
        <f>IF(Expense_Input!A40="","",Expense_Input!A40)</f>
        <v/>
      </c>
      <c r="B40" t="str">
        <f>IF(Expense_Input!B40="","",Expense_Input!B40)</f>
        <v/>
      </c>
      <c r="C40" t="str">
        <f t="shared" si="0"/>
        <v/>
      </c>
      <c r="D40" t="str">
        <f>IF(Expense_Input!C40="","",Expense_Input!C40)</f>
        <v/>
      </c>
      <c r="E40" s="4" t="str">
        <f>IF(Expense_Input!D40="","",Expense_Input!D40)</f>
        <v/>
      </c>
      <c r="F40" t="str">
        <f>IF(Expense_Input!E40="","",Expense_Input!E40)</f>
        <v/>
      </c>
      <c r="G40" t="str">
        <f>IF(Expense_Input!H40="","",Expense_Input!H40)</f>
        <v/>
      </c>
      <c r="H40" t="str">
        <f>IF(Expense_Input!I40="","Auto",Expense_Input!I40)</f>
        <v>Auto</v>
      </c>
      <c r="I40" t="str">
        <f>IF(F40="","",IFERROR(VLOOKUP(F40,Sales_Tax_Settings!$A$15:$B$27,2,FALSE),"Tax Unknown"))</f>
        <v/>
      </c>
      <c r="J40" t="str">
        <f t="shared" si="1"/>
        <v/>
      </c>
      <c r="K40" t="str">
        <f>IF(AND(Sales_Tax_Settings!$B$5="Yes",G40="Personal Expense",J40="Taxable"),"Yes","No")</f>
        <v>No</v>
      </c>
      <c r="L40" s="4">
        <f t="shared" si="2"/>
        <v>0</v>
      </c>
      <c r="M40" s="4">
        <f t="shared" si="3"/>
        <v>0</v>
      </c>
      <c r="N40" s="4">
        <f t="shared" si="4"/>
        <v>0</v>
      </c>
      <c r="O40" s="4">
        <f t="shared" si="5"/>
        <v>0</v>
      </c>
      <c r="P40" s="4">
        <f>IF(K40&lt;&gt;"Yes",0,IF(Sales_Tax_Settings!$B$6="Yes",E40/(1+Sales_Tax_Settings!$B$10),E40))</f>
        <v>0</v>
      </c>
      <c r="Q40" s="4">
        <f>IF(K40&lt;&gt;"Yes",0,P40*Sales_Tax_Settings!$B$8)</f>
        <v>0</v>
      </c>
      <c r="R40" s="4">
        <f>IF(K40&lt;&gt;"Yes",0,P40*Sales_Tax_Settings!$B$9)</f>
        <v>0</v>
      </c>
      <c r="S40" s="4">
        <f t="shared" si="6"/>
        <v>0</v>
      </c>
    </row>
    <row r="41" spans="1:19" x14ac:dyDescent="0.3">
      <c r="A41" t="str">
        <f>IF(Expense_Input!A41="","",Expense_Input!A41)</f>
        <v/>
      </c>
      <c r="B41" t="str">
        <f>IF(Expense_Input!B41="","",Expense_Input!B41)</f>
        <v/>
      </c>
      <c r="C41" t="str">
        <f t="shared" si="0"/>
        <v/>
      </c>
      <c r="D41" t="str">
        <f>IF(Expense_Input!C41="","",Expense_Input!C41)</f>
        <v/>
      </c>
      <c r="E41" s="4" t="str">
        <f>IF(Expense_Input!D41="","",Expense_Input!D41)</f>
        <v/>
      </c>
      <c r="F41" t="str">
        <f>IF(Expense_Input!E41="","",Expense_Input!E41)</f>
        <v/>
      </c>
      <c r="G41" t="str">
        <f>IF(Expense_Input!H41="","",Expense_Input!H41)</f>
        <v/>
      </c>
      <c r="H41" t="str">
        <f>IF(Expense_Input!I41="","Auto",Expense_Input!I41)</f>
        <v>Auto</v>
      </c>
      <c r="I41" t="str">
        <f>IF(F41="","",IFERROR(VLOOKUP(F41,Sales_Tax_Settings!$A$15:$B$27,2,FALSE),"Tax Unknown"))</f>
        <v/>
      </c>
      <c r="J41" t="str">
        <f t="shared" si="1"/>
        <v/>
      </c>
      <c r="K41" t="str">
        <f>IF(AND(Sales_Tax_Settings!$B$5="Yes",G41="Personal Expense",J41="Taxable"),"Yes","No")</f>
        <v>No</v>
      </c>
      <c r="L41" s="4">
        <f t="shared" si="2"/>
        <v>0</v>
      </c>
      <c r="M41" s="4">
        <f t="shared" si="3"/>
        <v>0</v>
      </c>
      <c r="N41" s="4">
        <f t="shared" si="4"/>
        <v>0</v>
      </c>
      <c r="O41" s="4">
        <f t="shared" si="5"/>
        <v>0</v>
      </c>
      <c r="P41" s="4">
        <f>IF(K41&lt;&gt;"Yes",0,IF(Sales_Tax_Settings!$B$6="Yes",E41/(1+Sales_Tax_Settings!$B$10),E41))</f>
        <v>0</v>
      </c>
      <c r="Q41" s="4">
        <f>IF(K41&lt;&gt;"Yes",0,P41*Sales_Tax_Settings!$B$8)</f>
        <v>0</v>
      </c>
      <c r="R41" s="4">
        <f>IF(K41&lt;&gt;"Yes",0,P41*Sales_Tax_Settings!$B$9)</f>
        <v>0</v>
      </c>
      <c r="S41" s="4">
        <f t="shared" si="6"/>
        <v>0</v>
      </c>
    </row>
    <row r="42" spans="1:19" x14ac:dyDescent="0.3">
      <c r="A42" t="str">
        <f>IF(Expense_Input!A42="","",Expense_Input!A42)</f>
        <v/>
      </c>
      <c r="B42" t="str">
        <f>IF(Expense_Input!B42="","",Expense_Input!B42)</f>
        <v/>
      </c>
      <c r="C42" t="str">
        <f t="shared" si="0"/>
        <v/>
      </c>
      <c r="D42" t="str">
        <f>IF(Expense_Input!C42="","",Expense_Input!C42)</f>
        <v/>
      </c>
      <c r="E42" s="4" t="str">
        <f>IF(Expense_Input!D42="","",Expense_Input!D42)</f>
        <v/>
      </c>
      <c r="F42" t="str">
        <f>IF(Expense_Input!E42="","",Expense_Input!E42)</f>
        <v/>
      </c>
      <c r="G42" t="str">
        <f>IF(Expense_Input!H42="","",Expense_Input!H42)</f>
        <v/>
      </c>
      <c r="H42" t="str">
        <f>IF(Expense_Input!I42="","Auto",Expense_Input!I42)</f>
        <v>Auto</v>
      </c>
      <c r="I42" t="str">
        <f>IF(F42="","",IFERROR(VLOOKUP(F42,Sales_Tax_Settings!$A$15:$B$27,2,FALSE),"Tax Unknown"))</f>
        <v/>
      </c>
      <c r="J42" t="str">
        <f t="shared" si="1"/>
        <v/>
      </c>
      <c r="K42" t="str">
        <f>IF(AND(Sales_Tax_Settings!$B$5="Yes",G42="Personal Expense",J42="Taxable"),"Yes","No")</f>
        <v>No</v>
      </c>
      <c r="L42" s="4">
        <f t="shared" si="2"/>
        <v>0</v>
      </c>
      <c r="M42" s="4">
        <f t="shared" si="3"/>
        <v>0</v>
      </c>
      <c r="N42" s="4">
        <f t="shared" si="4"/>
        <v>0</v>
      </c>
      <c r="O42" s="4">
        <f t="shared" si="5"/>
        <v>0</v>
      </c>
      <c r="P42" s="4">
        <f>IF(K42&lt;&gt;"Yes",0,IF(Sales_Tax_Settings!$B$6="Yes",E42/(1+Sales_Tax_Settings!$B$10),E42))</f>
        <v>0</v>
      </c>
      <c r="Q42" s="4">
        <f>IF(K42&lt;&gt;"Yes",0,P42*Sales_Tax_Settings!$B$8)</f>
        <v>0</v>
      </c>
      <c r="R42" s="4">
        <f>IF(K42&lt;&gt;"Yes",0,P42*Sales_Tax_Settings!$B$9)</f>
        <v>0</v>
      </c>
      <c r="S42" s="4">
        <f t="shared" si="6"/>
        <v>0</v>
      </c>
    </row>
    <row r="43" spans="1:19" x14ac:dyDescent="0.3">
      <c r="A43" t="str">
        <f>IF(Expense_Input!A43="","",Expense_Input!A43)</f>
        <v/>
      </c>
      <c r="B43" t="str">
        <f>IF(Expense_Input!B43="","",Expense_Input!B43)</f>
        <v/>
      </c>
      <c r="C43" t="str">
        <f t="shared" si="0"/>
        <v/>
      </c>
      <c r="D43" t="str">
        <f>IF(Expense_Input!C43="","",Expense_Input!C43)</f>
        <v/>
      </c>
      <c r="E43" s="4" t="str">
        <f>IF(Expense_Input!D43="","",Expense_Input!D43)</f>
        <v/>
      </c>
      <c r="F43" t="str">
        <f>IF(Expense_Input!E43="","",Expense_Input!E43)</f>
        <v/>
      </c>
      <c r="G43" t="str">
        <f>IF(Expense_Input!H43="","",Expense_Input!H43)</f>
        <v/>
      </c>
      <c r="H43" t="str">
        <f>IF(Expense_Input!I43="","Auto",Expense_Input!I43)</f>
        <v>Auto</v>
      </c>
      <c r="I43" t="str">
        <f>IF(F43="","",IFERROR(VLOOKUP(F43,Sales_Tax_Settings!$A$15:$B$27,2,FALSE),"Tax Unknown"))</f>
        <v/>
      </c>
      <c r="J43" t="str">
        <f t="shared" si="1"/>
        <v/>
      </c>
      <c r="K43" t="str">
        <f>IF(AND(Sales_Tax_Settings!$B$5="Yes",G43="Personal Expense",J43="Taxable"),"Yes","No")</f>
        <v>No</v>
      </c>
      <c r="L43" s="4">
        <f t="shared" si="2"/>
        <v>0</v>
      </c>
      <c r="M43" s="4">
        <f t="shared" si="3"/>
        <v>0</v>
      </c>
      <c r="N43" s="4">
        <f t="shared" si="4"/>
        <v>0</v>
      </c>
      <c r="O43" s="4">
        <f t="shared" si="5"/>
        <v>0</v>
      </c>
      <c r="P43" s="4">
        <f>IF(K43&lt;&gt;"Yes",0,IF(Sales_Tax_Settings!$B$6="Yes",E43/(1+Sales_Tax_Settings!$B$10),E43))</f>
        <v>0</v>
      </c>
      <c r="Q43" s="4">
        <f>IF(K43&lt;&gt;"Yes",0,P43*Sales_Tax_Settings!$B$8)</f>
        <v>0</v>
      </c>
      <c r="R43" s="4">
        <f>IF(K43&lt;&gt;"Yes",0,P43*Sales_Tax_Settings!$B$9)</f>
        <v>0</v>
      </c>
      <c r="S43" s="4">
        <f t="shared" si="6"/>
        <v>0</v>
      </c>
    </row>
    <row r="44" spans="1:19" x14ac:dyDescent="0.3">
      <c r="A44" t="str">
        <f>IF(Expense_Input!A44="","",Expense_Input!A44)</f>
        <v/>
      </c>
      <c r="B44" t="str">
        <f>IF(Expense_Input!B44="","",Expense_Input!B44)</f>
        <v/>
      </c>
      <c r="C44" t="str">
        <f t="shared" si="0"/>
        <v/>
      </c>
      <c r="D44" t="str">
        <f>IF(Expense_Input!C44="","",Expense_Input!C44)</f>
        <v/>
      </c>
      <c r="E44" s="4" t="str">
        <f>IF(Expense_Input!D44="","",Expense_Input!D44)</f>
        <v/>
      </c>
      <c r="F44" t="str">
        <f>IF(Expense_Input!E44="","",Expense_Input!E44)</f>
        <v/>
      </c>
      <c r="G44" t="str">
        <f>IF(Expense_Input!H44="","",Expense_Input!H44)</f>
        <v/>
      </c>
      <c r="H44" t="str">
        <f>IF(Expense_Input!I44="","Auto",Expense_Input!I44)</f>
        <v>Auto</v>
      </c>
      <c r="I44" t="str">
        <f>IF(F44="","",IFERROR(VLOOKUP(F44,Sales_Tax_Settings!$A$15:$B$27,2,FALSE),"Tax Unknown"))</f>
        <v/>
      </c>
      <c r="J44" t="str">
        <f t="shared" si="1"/>
        <v/>
      </c>
      <c r="K44" t="str">
        <f>IF(AND(Sales_Tax_Settings!$B$5="Yes",G44="Personal Expense",J44="Taxable"),"Yes","No")</f>
        <v>No</v>
      </c>
      <c r="L44" s="4">
        <f t="shared" si="2"/>
        <v>0</v>
      </c>
      <c r="M44" s="4">
        <f t="shared" si="3"/>
        <v>0</v>
      </c>
      <c r="N44" s="4">
        <f t="shared" si="4"/>
        <v>0</v>
      </c>
      <c r="O44" s="4">
        <f t="shared" si="5"/>
        <v>0</v>
      </c>
      <c r="P44" s="4">
        <f>IF(K44&lt;&gt;"Yes",0,IF(Sales_Tax_Settings!$B$6="Yes",E44/(1+Sales_Tax_Settings!$B$10),E44))</f>
        <v>0</v>
      </c>
      <c r="Q44" s="4">
        <f>IF(K44&lt;&gt;"Yes",0,P44*Sales_Tax_Settings!$B$8)</f>
        <v>0</v>
      </c>
      <c r="R44" s="4">
        <f>IF(K44&lt;&gt;"Yes",0,P44*Sales_Tax_Settings!$B$9)</f>
        <v>0</v>
      </c>
      <c r="S44" s="4">
        <f t="shared" si="6"/>
        <v>0</v>
      </c>
    </row>
    <row r="45" spans="1:19" x14ac:dyDescent="0.3">
      <c r="A45" t="str">
        <f>IF(Expense_Input!A45="","",Expense_Input!A45)</f>
        <v/>
      </c>
      <c r="B45" t="str">
        <f>IF(Expense_Input!B45="","",Expense_Input!B45)</f>
        <v/>
      </c>
      <c r="C45" t="str">
        <f t="shared" si="0"/>
        <v/>
      </c>
      <c r="D45" t="str">
        <f>IF(Expense_Input!C45="","",Expense_Input!C45)</f>
        <v/>
      </c>
      <c r="E45" s="4" t="str">
        <f>IF(Expense_Input!D45="","",Expense_Input!D45)</f>
        <v/>
      </c>
      <c r="F45" t="str">
        <f>IF(Expense_Input!E45="","",Expense_Input!E45)</f>
        <v/>
      </c>
      <c r="G45" t="str">
        <f>IF(Expense_Input!H45="","",Expense_Input!H45)</f>
        <v/>
      </c>
      <c r="H45" t="str">
        <f>IF(Expense_Input!I45="","Auto",Expense_Input!I45)</f>
        <v>Auto</v>
      </c>
      <c r="I45" t="str">
        <f>IF(F45="","",IFERROR(VLOOKUP(F45,Sales_Tax_Settings!$A$15:$B$27,2,FALSE),"Tax Unknown"))</f>
        <v/>
      </c>
      <c r="J45" t="str">
        <f t="shared" si="1"/>
        <v/>
      </c>
      <c r="K45" t="str">
        <f>IF(AND(Sales_Tax_Settings!$B$5="Yes",G45="Personal Expense",J45="Taxable"),"Yes","No")</f>
        <v>No</v>
      </c>
      <c r="L45" s="4">
        <f t="shared" si="2"/>
        <v>0</v>
      </c>
      <c r="M45" s="4">
        <f t="shared" si="3"/>
        <v>0</v>
      </c>
      <c r="N45" s="4">
        <f t="shared" si="4"/>
        <v>0</v>
      </c>
      <c r="O45" s="4">
        <f t="shared" si="5"/>
        <v>0</v>
      </c>
      <c r="P45" s="4">
        <f>IF(K45&lt;&gt;"Yes",0,IF(Sales_Tax_Settings!$B$6="Yes",E45/(1+Sales_Tax_Settings!$B$10),E45))</f>
        <v>0</v>
      </c>
      <c r="Q45" s="4">
        <f>IF(K45&lt;&gt;"Yes",0,P45*Sales_Tax_Settings!$B$8)</f>
        <v>0</v>
      </c>
      <c r="R45" s="4">
        <f>IF(K45&lt;&gt;"Yes",0,P45*Sales_Tax_Settings!$B$9)</f>
        <v>0</v>
      </c>
      <c r="S45" s="4">
        <f t="shared" si="6"/>
        <v>0</v>
      </c>
    </row>
    <row r="46" spans="1:19" x14ac:dyDescent="0.3">
      <c r="A46" t="str">
        <f>IF(Expense_Input!A46="","",Expense_Input!A46)</f>
        <v/>
      </c>
      <c r="B46" t="str">
        <f>IF(Expense_Input!B46="","",Expense_Input!B46)</f>
        <v/>
      </c>
      <c r="C46" t="str">
        <f t="shared" si="0"/>
        <v/>
      </c>
      <c r="D46" t="str">
        <f>IF(Expense_Input!C46="","",Expense_Input!C46)</f>
        <v/>
      </c>
      <c r="E46" s="4" t="str">
        <f>IF(Expense_Input!D46="","",Expense_Input!D46)</f>
        <v/>
      </c>
      <c r="F46" t="str">
        <f>IF(Expense_Input!E46="","",Expense_Input!E46)</f>
        <v/>
      </c>
      <c r="G46" t="str">
        <f>IF(Expense_Input!H46="","",Expense_Input!H46)</f>
        <v/>
      </c>
      <c r="H46" t="str">
        <f>IF(Expense_Input!I46="","Auto",Expense_Input!I46)</f>
        <v>Auto</v>
      </c>
      <c r="I46" t="str">
        <f>IF(F46="","",IFERROR(VLOOKUP(F46,Sales_Tax_Settings!$A$15:$B$27,2,FALSE),"Tax Unknown"))</f>
        <v/>
      </c>
      <c r="J46" t="str">
        <f t="shared" si="1"/>
        <v/>
      </c>
      <c r="K46" t="str">
        <f>IF(AND(Sales_Tax_Settings!$B$5="Yes",G46="Personal Expense",J46="Taxable"),"Yes","No")</f>
        <v>No</v>
      </c>
      <c r="L46" s="4">
        <f t="shared" si="2"/>
        <v>0</v>
      </c>
      <c r="M46" s="4">
        <f t="shared" si="3"/>
        <v>0</v>
      </c>
      <c r="N46" s="4">
        <f t="shared" si="4"/>
        <v>0</v>
      </c>
      <c r="O46" s="4">
        <f t="shared" si="5"/>
        <v>0</v>
      </c>
      <c r="P46" s="4">
        <f>IF(K46&lt;&gt;"Yes",0,IF(Sales_Tax_Settings!$B$6="Yes",E46/(1+Sales_Tax_Settings!$B$10),E46))</f>
        <v>0</v>
      </c>
      <c r="Q46" s="4">
        <f>IF(K46&lt;&gt;"Yes",0,P46*Sales_Tax_Settings!$B$8)</f>
        <v>0</v>
      </c>
      <c r="R46" s="4">
        <f>IF(K46&lt;&gt;"Yes",0,P46*Sales_Tax_Settings!$B$9)</f>
        <v>0</v>
      </c>
      <c r="S46" s="4">
        <f t="shared" si="6"/>
        <v>0</v>
      </c>
    </row>
    <row r="47" spans="1:19" x14ac:dyDescent="0.3">
      <c r="A47" t="str">
        <f>IF(Expense_Input!A47="","",Expense_Input!A47)</f>
        <v/>
      </c>
      <c r="B47" t="str">
        <f>IF(Expense_Input!B47="","",Expense_Input!B47)</f>
        <v/>
      </c>
      <c r="C47" t="str">
        <f t="shared" si="0"/>
        <v/>
      </c>
      <c r="D47" t="str">
        <f>IF(Expense_Input!C47="","",Expense_Input!C47)</f>
        <v/>
      </c>
      <c r="E47" s="4" t="str">
        <f>IF(Expense_Input!D47="","",Expense_Input!D47)</f>
        <v/>
      </c>
      <c r="F47" t="str">
        <f>IF(Expense_Input!E47="","",Expense_Input!E47)</f>
        <v/>
      </c>
      <c r="G47" t="str">
        <f>IF(Expense_Input!H47="","",Expense_Input!H47)</f>
        <v/>
      </c>
      <c r="H47" t="str">
        <f>IF(Expense_Input!I47="","Auto",Expense_Input!I47)</f>
        <v>Auto</v>
      </c>
      <c r="I47" t="str">
        <f>IF(F47="","",IFERROR(VLOOKUP(F47,Sales_Tax_Settings!$A$15:$B$27,2,FALSE),"Tax Unknown"))</f>
        <v/>
      </c>
      <c r="J47" t="str">
        <f t="shared" si="1"/>
        <v/>
      </c>
      <c r="K47" t="str">
        <f>IF(AND(Sales_Tax_Settings!$B$5="Yes",G47="Personal Expense",J47="Taxable"),"Yes","No")</f>
        <v>No</v>
      </c>
      <c r="L47" s="4">
        <f t="shared" si="2"/>
        <v>0</v>
      </c>
      <c r="M47" s="4">
        <f t="shared" si="3"/>
        <v>0</v>
      </c>
      <c r="N47" s="4">
        <f t="shared" si="4"/>
        <v>0</v>
      </c>
      <c r="O47" s="4">
        <f t="shared" si="5"/>
        <v>0</v>
      </c>
      <c r="P47" s="4">
        <f>IF(K47&lt;&gt;"Yes",0,IF(Sales_Tax_Settings!$B$6="Yes",E47/(1+Sales_Tax_Settings!$B$10),E47))</f>
        <v>0</v>
      </c>
      <c r="Q47" s="4">
        <f>IF(K47&lt;&gt;"Yes",0,P47*Sales_Tax_Settings!$B$8)</f>
        <v>0</v>
      </c>
      <c r="R47" s="4">
        <f>IF(K47&lt;&gt;"Yes",0,P47*Sales_Tax_Settings!$B$9)</f>
        <v>0</v>
      </c>
      <c r="S47" s="4">
        <f t="shared" si="6"/>
        <v>0</v>
      </c>
    </row>
    <row r="48" spans="1:19" x14ac:dyDescent="0.3">
      <c r="A48" t="str">
        <f>IF(Expense_Input!A48="","",Expense_Input!A48)</f>
        <v/>
      </c>
      <c r="B48" t="str">
        <f>IF(Expense_Input!B48="","",Expense_Input!B48)</f>
        <v/>
      </c>
      <c r="C48" t="str">
        <f t="shared" si="0"/>
        <v/>
      </c>
      <c r="D48" t="str">
        <f>IF(Expense_Input!C48="","",Expense_Input!C48)</f>
        <v/>
      </c>
      <c r="E48" s="4" t="str">
        <f>IF(Expense_Input!D48="","",Expense_Input!D48)</f>
        <v/>
      </c>
      <c r="F48" t="str">
        <f>IF(Expense_Input!E48="","",Expense_Input!E48)</f>
        <v/>
      </c>
      <c r="G48" t="str">
        <f>IF(Expense_Input!H48="","",Expense_Input!H48)</f>
        <v/>
      </c>
      <c r="H48" t="str">
        <f>IF(Expense_Input!I48="","Auto",Expense_Input!I48)</f>
        <v>Auto</v>
      </c>
      <c r="I48" t="str">
        <f>IF(F48="","",IFERROR(VLOOKUP(F48,Sales_Tax_Settings!$A$15:$B$27,2,FALSE),"Tax Unknown"))</f>
        <v/>
      </c>
      <c r="J48" t="str">
        <f t="shared" si="1"/>
        <v/>
      </c>
      <c r="K48" t="str">
        <f>IF(AND(Sales_Tax_Settings!$B$5="Yes",G48="Personal Expense",J48="Taxable"),"Yes","No")</f>
        <v>No</v>
      </c>
      <c r="L48" s="4">
        <f t="shared" si="2"/>
        <v>0</v>
      </c>
      <c r="M48" s="4">
        <f t="shared" si="3"/>
        <v>0</v>
      </c>
      <c r="N48" s="4">
        <f t="shared" si="4"/>
        <v>0</v>
      </c>
      <c r="O48" s="4">
        <f t="shared" si="5"/>
        <v>0</v>
      </c>
      <c r="P48" s="4">
        <f>IF(K48&lt;&gt;"Yes",0,IF(Sales_Tax_Settings!$B$6="Yes",E48/(1+Sales_Tax_Settings!$B$10),E48))</f>
        <v>0</v>
      </c>
      <c r="Q48" s="4">
        <f>IF(K48&lt;&gt;"Yes",0,P48*Sales_Tax_Settings!$B$8)</f>
        <v>0</v>
      </c>
      <c r="R48" s="4">
        <f>IF(K48&lt;&gt;"Yes",0,P48*Sales_Tax_Settings!$B$9)</f>
        <v>0</v>
      </c>
      <c r="S48" s="4">
        <f t="shared" si="6"/>
        <v>0</v>
      </c>
    </row>
    <row r="49" spans="1:19" x14ac:dyDescent="0.3">
      <c r="A49" t="str">
        <f>IF(Expense_Input!A49="","",Expense_Input!A49)</f>
        <v/>
      </c>
      <c r="B49" t="str">
        <f>IF(Expense_Input!B49="","",Expense_Input!B49)</f>
        <v/>
      </c>
      <c r="C49" t="str">
        <f t="shared" si="0"/>
        <v/>
      </c>
      <c r="D49" t="str">
        <f>IF(Expense_Input!C49="","",Expense_Input!C49)</f>
        <v/>
      </c>
      <c r="E49" s="4" t="str">
        <f>IF(Expense_Input!D49="","",Expense_Input!D49)</f>
        <v/>
      </c>
      <c r="F49" t="str">
        <f>IF(Expense_Input!E49="","",Expense_Input!E49)</f>
        <v/>
      </c>
      <c r="G49" t="str">
        <f>IF(Expense_Input!H49="","",Expense_Input!H49)</f>
        <v/>
      </c>
      <c r="H49" t="str">
        <f>IF(Expense_Input!I49="","Auto",Expense_Input!I49)</f>
        <v>Auto</v>
      </c>
      <c r="I49" t="str">
        <f>IF(F49="","",IFERROR(VLOOKUP(F49,Sales_Tax_Settings!$A$15:$B$27,2,FALSE),"Tax Unknown"))</f>
        <v/>
      </c>
      <c r="J49" t="str">
        <f t="shared" si="1"/>
        <v/>
      </c>
      <c r="K49" t="str">
        <f>IF(AND(Sales_Tax_Settings!$B$5="Yes",G49="Personal Expense",J49="Taxable"),"Yes","No")</f>
        <v>No</v>
      </c>
      <c r="L49" s="4">
        <f t="shared" si="2"/>
        <v>0</v>
      </c>
      <c r="M49" s="4">
        <f t="shared" si="3"/>
        <v>0</v>
      </c>
      <c r="N49" s="4">
        <f t="shared" si="4"/>
        <v>0</v>
      </c>
      <c r="O49" s="4">
        <f t="shared" si="5"/>
        <v>0</v>
      </c>
      <c r="P49" s="4">
        <f>IF(K49&lt;&gt;"Yes",0,IF(Sales_Tax_Settings!$B$6="Yes",E49/(1+Sales_Tax_Settings!$B$10),E49))</f>
        <v>0</v>
      </c>
      <c r="Q49" s="4">
        <f>IF(K49&lt;&gt;"Yes",0,P49*Sales_Tax_Settings!$B$8)</f>
        <v>0</v>
      </c>
      <c r="R49" s="4">
        <f>IF(K49&lt;&gt;"Yes",0,P49*Sales_Tax_Settings!$B$9)</f>
        <v>0</v>
      </c>
      <c r="S49" s="4">
        <f t="shared" si="6"/>
        <v>0</v>
      </c>
    </row>
    <row r="50" spans="1:19" x14ac:dyDescent="0.3">
      <c r="A50" t="str">
        <f>IF(Expense_Input!A50="","",Expense_Input!A50)</f>
        <v/>
      </c>
      <c r="B50" t="str">
        <f>IF(Expense_Input!B50="","",Expense_Input!B50)</f>
        <v/>
      </c>
      <c r="C50" t="str">
        <f t="shared" si="0"/>
        <v/>
      </c>
      <c r="D50" t="str">
        <f>IF(Expense_Input!C50="","",Expense_Input!C50)</f>
        <v/>
      </c>
      <c r="E50" s="4" t="str">
        <f>IF(Expense_Input!D50="","",Expense_Input!D50)</f>
        <v/>
      </c>
      <c r="F50" t="str">
        <f>IF(Expense_Input!E50="","",Expense_Input!E50)</f>
        <v/>
      </c>
      <c r="G50" t="str">
        <f>IF(Expense_Input!H50="","",Expense_Input!H50)</f>
        <v/>
      </c>
      <c r="H50" t="str">
        <f>IF(Expense_Input!I50="","Auto",Expense_Input!I50)</f>
        <v>Auto</v>
      </c>
      <c r="I50" t="str">
        <f>IF(F50="","",IFERROR(VLOOKUP(F50,Sales_Tax_Settings!$A$15:$B$27,2,FALSE),"Tax Unknown"))</f>
        <v/>
      </c>
      <c r="J50" t="str">
        <f t="shared" si="1"/>
        <v/>
      </c>
      <c r="K50" t="str">
        <f>IF(AND(Sales_Tax_Settings!$B$5="Yes",G50="Personal Expense",J50="Taxable"),"Yes","No")</f>
        <v>No</v>
      </c>
      <c r="L50" s="4">
        <f t="shared" si="2"/>
        <v>0</v>
      </c>
      <c r="M50" s="4">
        <f t="shared" si="3"/>
        <v>0</v>
      </c>
      <c r="N50" s="4">
        <f t="shared" si="4"/>
        <v>0</v>
      </c>
      <c r="O50" s="4">
        <f t="shared" si="5"/>
        <v>0</v>
      </c>
      <c r="P50" s="4">
        <f>IF(K50&lt;&gt;"Yes",0,IF(Sales_Tax_Settings!$B$6="Yes",E50/(1+Sales_Tax_Settings!$B$10),E50))</f>
        <v>0</v>
      </c>
      <c r="Q50" s="4">
        <f>IF(K50&lt;&gt;"Yes",0,P50*Sales_Tax_Settings!$B$8)</f>
        <v>0</v>
      </c>
      <c r="R50" s="4">
        <f>IF(K50&lt;&gt;"Yes",0,P50*Sales_Tax_Settings!$B$9)</f>
        <v>0</v>
      </c>
      <c r="S50" s="4">
        <f t="shared" si="6"/>
        <v>0</v>
      </c>
    </row>
    <row r="51" spans="1:19" x14ac:dyDescent="0.3">
      <c r="A51" t="str">
        <f>IF(Expense_Input!A51="","",Expense_Input!A51)</f>
        <v/>
      </c>
      <c r="B51" t="str">
        <f>IF(Expense_Input!B51="","",Expense_Input!B51)</f>
        <v/>
      </c>
      <c r="C51" t="str">
        <f t="shared" si="0"/>
        <v/>
      </c>
      <c r="D51" t="str">
        <f>IF(Expense_Input!C51="","",Expense_Input!C51)</f>
        <v/>
      </c>
      <c r="E51" s="4" t="str">
        <f>IF(Expense_Input!D51="","",Expense_Input!D51)</f>
        <v/>
      </c>
      <c r="F51" t="str">
        <f>IF(Expense_Input!E51="","",Expense_Input!E51)</f>
        <v/>
      </c>
      <c r="G51" t="str">
        <f>IF(Expense_Input!H51="","",Expense_Input!H51)</f>
        <v/>
      </c>
      <c r="H51" t="str">
        <f>IF(Expense_Input!I51="","Auto",Expense_Input!I51)</f>
        <v>Auto</v>
      </c>
      <c r="I51" t="str">
        <f>IF(F51="","",IFERROR(VLOOKUP(F51,Sales_Tax_Settings!$A$15:$B$27,2,FALSE),"Tax Unknown"))</f>
        <v/>
      </c>
      <c r="J51" t="str">
        <f t="shared" si="1"/>
        <v/>
      </c>
      <c r="K51" t="str">
        <f>IF(AND(Sales_Tax_Settings!$B$5="Yes",G51="Personal Expense",J51="Taxable"),"Yes","No")</f>
        <v>No</v>
      </c>
      <c r="L51" s="4">
        <f t="shared" si="2"/>
        <v>0</v>
      </c>
      <c r="M51" s="4">
        <f t="shared" si="3"/>
        <v>0</v>
      </c>
      <c r="N51" s="4">
        <f t="shared" si="4"/>
        <v>0</v>
      </c>
      <c r="O51" s="4">
        <f t="shared" si="5"/>
        <v>0</v>
      </c>
      <c r="P51" s="4">
        <f>IF(K51&lt;&gt;"Yes",0,IF(Sales_Tax_Settings!$B$6="Yes",E51/(1+Sales_Tax_Settings!$B$10),E51))</f>
        <v>0</v>
      </c>
      <c r="Q51" s="4">
        <f>IF(K51&lt;&gt;"Yes",0,P51*Sales_Tax_Settings!$B$8)</f>
        <v>0</v>
      </c>
      <c r="R51" s="4">
        <f>IF(K51&lt;&gt;"Yes",0,P51*Sales_Tax_Settings!$B$9)</f>
        <v>0</v>
      </c>
      <c r="S51" s="4">
        <f t="shared" si="6"/>
        <v>0</v>
      </c>
    </row>
    <row r="52" spans="1:19" x14ac:dyDescent="0.3">
      <c r="A52" t="str">
        <f>IF(Expense_Input!A52="","",Expense_Input!A52)</f>
        <v/>
      </c>
      <c r="B52" t="str">
        <f>IF(Expense_Input!B52="","",Expense_Input!B52)</f>
        <v/>
      </c>
      <c r="C52" t="str">
        <f t="shared" si="0"/>
        <v/>
      </c>
      <c r="D52" t="str">
        <f>IF(Expense_Input!C52="","",Expense_Input!C52)</f>
        <v/>
      </c>
      <c r="E52" s="4" t="str">
        <f>IF(Expense_Input!D52="","",Expense_Input!D52)</f>
        <v/>
      </c>
      <c r="F52" t="str">
        <f>IF(Expense_Input!E52="","",Expense_Input!E52)</f>
        <v/>
      </c>
      <c r="G52" t="str">
        <f>IF(Expense_Input!H52="","",Expense_Input!H52)</f>
        <v/>
      </c>
      <c r="H52" t="str">
        <f>IF(Expense_Input!I52="","Auto",Expense_Input!I52)</f>
        <v>Auto</v>
      </c>
      <c r="I52" t="str">
        <f>IF(F52="","",IFERROR(VLOOKUP(F52,Sales_Tax_Settings!$A$15:$B$27,2,FALSE),"Tax Unknown"))</f>
        <v/>
      </c>
      <c r="J52" t="str">
        <f t="shared" si="1"/>
        <v/>
      </c>
      <c r="K52" t="str">
        <f>IF(AND(Sales_Tax_Settings!$B$5="Yes",G52="Personal Expense",J52="Taxable"),"Yes","No")</f>
        <v>No</v>
      </c>
      <c r="L52" s="4">
        <f t="shared" si="2"/>
        <v>0</v>
      </c>
      <c r="M52" s="4">
        <f t="shared" si="3"/>
        <v>0</v>
      </c>
      <c r="N52" s="4">
        <f t="shared" si="4"/>
        <v>0</v>
      </c>
      <c r="O52" s="4">
        <f t="shared" si="5"/>
        <v>0</v>
      </c>
      <c r="P52" s="4">
        <f>IF(K52&lt;&gt;"Yes",0,IF(Sales_Tax_Settings!$B$6="Yes",E52/(1+Sales_Tax_Settings!$B$10),E52))</f>
        <v>0</v>
      </c>
      <c r="Q52" s="4">
        <f>IF(K52&lt;&gt;"Yes",0,P52*Sales_Tax_Settings!$B$8)</f>
        <v>0</v>
      </c>
      <c r="R52" s="4">
        <f>IF(K52&lt;&gt;"Yes",0,P52*Sales_Tax_Settings!$B$9)</f>
        <v>0</v>
      </c>
      <c r="S52" s="4">
        <f t="shared" si="6"/>
        <v>0</v>
      </c>
    </row>
    <row r="53" spans="1:19" x14ac:dyDescent="0.3">
      <c r="A53" t="str">
        <f>IF(Expense_Input!A53="","",Expense_Input!A53)</f>
        <v/>
      </c>
      <c r="B53" t="str">
        <f>IF(Expense_Input!B53="","",Expense_Input!B53)</f>
        <v/>
      </c>
      <c r="C53" t="str">
        <f t="shared" si="0"/>
        <v/>
      </c>
      <c r="D53" t="str">
        <f>IF(Expense_Input!C53="","",Expense_Input!C53)</f>
        <v/>
      </c>
      <c r="E53" s="4" t="str">
        <f>IF(Expense_Input!D53="","",Expense_Input!D53)</f>
        <v/>
      </c>
      <c r="F53" t="str">
        <f>IF(Expense_Input!E53="","",Expense_Input!E53)</f>
        <v/>
      </c>
      <c r="G53" t="str">
        <f>IF(Expense_Input!H53="","",Expense_Input!H53)</f>
        <v/>
      </c>
      <c r="H53" t="str">
        <f>IF(Expense_Input!I53="","Auto",Expense_Input!I53)</f>
        <v>Auto</v>
      </c>
      <c r="I53" t="str">
        <f>IF(F53="","",IFERROR(VLOOKUP(F53,Sales_Tax_Settings!$A$15:$B$27,2,FALSE),"Tax Unknown"))</f>
        <v/>
      </c>
      <c r="J53" t="str">
        <f t="shared" si="1"/>
        <v/>
      </c>
      <c r="K53" t="str">
        <f>IF(AND(Sales_Tax_Settings!$B$5="Yes",G53="Personal Expense",J53="Taxable"),"Yes","No")</f>
        <v>No</v>
      </c>
      <c r="L53" s="4">
        <f t="shared" si="2"/>
        <v>0</v>
      </c>
      <c r="M53" s="4">
        <f t="shared" si="3"/>
        <v>0</v>
      </c>
      <c r="N53" s="4">
        <f t="shared" si="4"/>
        <v>0</v>
      </c>
      <c r="O53" s="4">
        <f t="shared" si="5"/>
        <v>0</v>
      </c>
      <c r="P53" s="4">
        <f>IF(K53&lt;&gt;"Yes",0,IF(Sales_Tax_Settings!$B$6="Yes",E53/(1+Sales_Tax_Settings!$B$10),E53))</f>
        <v>0</v>
      </c>
      <c r="Q53" s="4">
        <f>IF(K53&lt;&gt;"Yes",0,P53*Sales_Tax_Settings!$B$8)</f>
        <v>0</v>
      </c>
      <c r="R53" s="4">
        <f>IF(K53&lt;&gt;"Yes",0,P53*Sales_Tax_Settings!$B$9)</f>
        <v>0</v>
      </c>
      <c r="S53" s="4">
        <f t="shared" si="6"/>
        <v>0</v>
      </c>
    </row>
    <row r="54" spans="1:19" x14ac:dyDescent="0.3">
      <c r="A54" t="str">
        <f>IF(Expense_Input!A54="","",Expense_Input!A54)</f>
        <v/>
      </c>
      <c r="B54" t="str">
        <f>IF(Expense_Input!B54="","",Expense_Input!B54)</f>
        <v/>
      </c>
      <c r="C54" t="str">
        <f t="shared" si="0"/>
        <v/>
      </c>
      <c r="D54" t="str">
        <f>IF(Expense_Input!C54="","",Expense_Input!C54)</f>
        <v/>
      </c>
      <c r="E54" s="4" t="str">
        <f>IF(Expense_Input!D54="","",Expense_Input!D54)</f>
        <v/>
      </c>
      <c r="F54" t="str">
        <f>IF(Expense_Input!E54="","",Expense_Input!E54)</f>
        <v/>
      </c>
      <c r="G54" t="str">
        <f>IF(Expense_Input!H54="","",Expense_Input!H54)</f>
        <v/>
      </c>
      <c r="H54" t="str">
        <f>IF(Expense_Input!I54="","Auto",Expense_Input!I54)</f>
        <v>Auto</v>
      </c>
      <c r="I54" t="str">
        <f>IF(F54="","",IFERROR(VLOOKUP(F54,Sales_Tax_Settings!$A$15:$B$27,2,FALSE),"Tax Unknown"))</f>
        <v/>
      </c>
      <c r="J54" t="str">
        <f t="shared" si="1"/>
        <v/>
      </c>
      <c r="K54" t="str">
        <f>IF(AND(Sales_Tax_Settings!$B$5="Yes",G54="Personal Expense",J54="Taxable"),"Yes","No")</f>
        <v>No</v>
      </c>
      <c r="L54" s="4">
        <f t="shared" si="2"/>
        <v>0</v>
      </c>
      <c r="M54" s="4">
        <f t="shared" si="3"/>
        <v>0</v>
      </c>
      <c r="N54" s="4">
        <f t="shared" si="4"/>
        <v>0</v>
      </c>
      <c r="O54" s="4">
        <f t="shared" si="5"/>
        <v>0</v>
      </c>
      <c r="P54" s="4">
        <f>IF(K54&lt;&gt;"Yes",0,IF(Sales_Tax_Settings!$B$6="Yes",E54/(1+Sales_Tax_Settings!$B$10),E54))</f>
        <v>0</v>
      </c>
      <c r="Q54" s="4">
        <f>IF(K54&lt;&gt;"Yes",0,P54*Sales_Tax_Settings!$B$8)</f>
        <v>0</v>
      </c>
      <c r="R54" s="4">
        <f>IF(K54&lt;&gt;"Yes",0,P54*Sales_Tax_Settings!$B$9)</f>
        <v>0</v>
      </c>
      <c r="S54" s="4">
        <f t="shared" si="6"/>
        <v>0</v>
      </c>
    </row>
    <row r="55" spans="1:19" x14ac:dyDescent="0.3">
      <c r="A55" t="str">
        <f>IF(Expense_Input!A55="","",Expense_Input!A55)</f>
        <v/>
      </c>
      <c r="B55" t="str">
        <f>IF(Expense_Input!B55="","",Expense_Input!B55)</f>
        <v/>
      </c>
      <c r="C55" t="str">
        <f t="shared" si="0"/>
        <v/>
      </c>
      <c r="D55" t="str">
        <f>IF(Expense_Input!C55="","",Expense_Input!C55)</f>
        <v/>
      </c>
      <c r="E55" s="4" t="str">
        <f>IF(Expense_Input!D55="","",Expense_Input!D55)</f>
        <v/>
      </c>
      <c r="F55" t="str">
        <f>IF(Expense_Input!E55="","",Expense_Input!E55)</f>
        <v/>
      </c>
      <c r="G55" t="str">
        <f>IF(Expense_Input!H55="","",Expense_Input!H55)</f>
        <v/>
      </c>
      <c r="H55" t="str">
        <f>IF(Expense_Input!I55="","Auto",Expense_Input!I55)</f>
        <v>Auto</v>
      </c>
      <c r="I55" t="str">
        <f>IF(F55="","",IFERROR(VLOOKUP(F55,Sales_Tax_Settings!$A$15:$B$27,2,FALSE),"Tax Unknown"))</f>
        <v/>
      </c>
      <c r="J55" t="str">
        <f t="shared" si="1"/>
        <v/>
      </c>
      <c r="K55" t="str">
        <f>IF(AND(Sales_Tax_Settings!$B$5="Yes",G55="Personal Expense",J55="Taxable"),"Yes","No")</f>
        <v>No</v>
      </c>
      <c r="L55" s="4">
        <f t="shared" si="2"/>
        <v>0</v>
      </c>
      <c r="M55" s="4">
        <f t="shared" si="3"/>
        <v>0</v>
      </c>
      <c r="N55" s="4">
        <f t="shared" si="4"/>
        <v>0</v>
      </c>
      <c r="O55" s="4">
        <f t="shared" si="5"/>
        <v>0</v>
      </c>
      <c r="P55" s="4">
        <f>IF(K55&lt;&gt;"Yes",0,IF(Sales_Tax_Settings!$B$6="Yes",E55/(1+Sales_Tax_Settings!$B$10),E55))</f>
        <v>0</v>
      </c>
      <c r="Q55" s="4">
        <f>IF(K55&lt;&gt;"Yes",0,P55*Sales_Tax_Settings!$B$8)</f>
        <v>0</v>
      </c>
      <c r="R55" s="4">
        <f>IF(K55&lt;&gt;"Yes",0,P55*Sales_Tax_Settings!$B$9)</f>
        <v>0</v>
      </c>
      <c r="S55" s="4">
        <f t="shared" si="6"/>
        <v>0</v>
      </c>
    </row>
    <row r="56" spans="1:19" x14ac:dyDescent="0.3">
      <c r="A56" t="str">
        <f>IF(Expense_Input!A56="","",Expense_Input!A56)</f>
        <v/>
      </c>
      <c r="B56" t="str">
        <f>IF(Expense_Input!B56="","",Expense_Input!B56)</f>
        <v/>
      </c>
      <c r="C56" t="str">
        <f t="shared" si="0"/>
        <v/>
      </c>
      <c r="D56" t="str">
        <f>IF(Expense_Input!C56="","",Expense_Input!C56)</f>
        <v/>
      </c>
      <c r="E56" s="4" t="str">
        <f>IF(Expense_Input!D56="","",Expense_Input!D56)</f>
        <v/>
      </c>
      <c r="F56" t="str">
        <f>IF(Expense_Input!E56="","",Expense_Input!E56)</f>
        <v/>
      </c>
      <c r="G56" t="str">
        <f>IF(Expense_Input!H56="","",Expense_Input!H56)</f>
        <v/>
      </c>
      <c r="H56" t="str">
        <f>IF(Expense_Input!I56="","Auto",Expense_Input!I56)</f>
        <v>Auto</v>
      </c>
      <c r="I56" t="str">
        <f>IF(F56="","",IFERROR(VLOOKUP(F56,Sales_Tax_Settings!$A$15:$B$27,2,FALSE),"Tax Unknown"))</f>
        <v/>
      </c>
      <c r="J56" t="str">
        <f t="shared" si="1"/>
        <v/>
      </c>
      <c r="K56" t="str">
        <f>IF(AND(Sales_Tax_Settings!$B$5="Yes",G56="Personal Expense",J56="Taxable"),"Yes","No")</f>
        <v>No</v>
      </c>
      <c r="L56" s="4">
        <f t="shared" si="2"/>
        <v>0</v>
      </c>
      <c r="M56" s="4">
        <f t="shared" si="3"/>
        <v>0</v>
      </c>
      <c r="N56" s="4">
        <f t="shared" si="4"/>
        <v>0</v>
      </c>
      <c r="O56" s="4">
        <f t="shared" si="5"/>
        <v>0</v>
      </c>
      <c r="P56" s="4">
        <f>IF(K56&lt;&gt;"Yes",0,IF(Sales_Tax_Settings!$B$6="Yes",E56/(1+Sales_Tax_Settings!$B$10),E56))</f>
        <v>0</v>
      </c>
      <c r="Q56" s="4">
        <f>IF(K56&lt;&gt;"Yes",0,P56*Sales_Tax_Settings!$B$8)</f>
        <v>0</v>
      </c>
      <c r="R56" s="4">
        <f>IF(K56&lt;&gt;"Yes",0,P56*Sales_Tax_Settings!$B$9)</f>
        <v>0</v>
      </c>
      <c r="S56" s="4">
        <f t="shared" si="6"/>
        <v>0</v>
      </c>
    </row>
    <row r="57" spans="1:19" x14ac:dyDescent="0.3">
      <c r="A57" t="str">
        <f>IF(Expense_Input!A57="","",Expense_Input!A57)</f>
        <v/>
      </c>
      <c r="B57" t="str">
        <f>IF(Expense_Input!B57="","",Expense_Input!B57)</f>
        <v/>
      </c>
      <c r="C57" t="str">
        <f t="shared" si="0"/>
        <v/>
      </c>
      <c r="D57" t="str">
        <f>IF(Expense_Input!C57="","",Expense_Input!C57)</f>
        <v/>
      </c>
      <c r="E57" s="4" t="str">
        <f>IF(Expense_Input!D57="","",Expense_Input!D57)</f>
        <v/>
      </c>
      <c r="F57" t="str">
        <f>IF(Expense_Input!E57="","",Expense_Input!E57)</f>
        <v/>
      </c>
      <c r="G57" t="str">
        <f>IF(Expense_Input!H57="","",Expense_Input!H57)</f>
        <v/>
      </c>
      <c r="H57" t="str">
        <f>IF(Expense_Input!I57="","Auto",Expense_Input!I57)</f>
        <v>Auto</v>
      </c>
      <c r="I57" t="str">
        <f>IF(F57="","",IFERROR(VLOOKUP(F57,Sales_Tax_Settings!$A$15:$B$27,2,FALSE),"Tax Unknown"))</f>
        <v/>
      </c>
      <c r="J57" t="str">
        <f t="shared" si="1"/>
        <v/>
      </c>
      <c r="K57" t="str">
        <f>IF(AND(Sales_Tax_Settings!$B$5="Yes",G57="Personal Expense",J57="Taxable"),"Yes","No")</f>
        <v>No</v>
      </c>
      <c r="L57" s="4">
        <f t="shared" si="2"/>
        <v>0</v>
      </c>
      <c r="M57" s="4">
        <f t="shared" si="3"/>
        <v>0</v>
      </c>
      <c r="N57" s="4">
        <f t="shared" si="4"/>
        <v>0</v>
      </c>
      <c r="O57" s="4">
        <f t="shared" si="5"/>
        <v>0</v>
      </c>
      <c r="P57" s="4">
        <f>IF(K57&lt;&gt;"Yes",0,IF(Sales_Tax_Settings!$B$6="Yes",E57/(1+Sales_Tax_Settings!$B$10),E57))</f>
        <v>0</v>
      </c>
      <c r="Q57" s="4">
        <f>IF(K57&lt;&gt;"Yes",0,P57*Sales_Tax_Settings!$B$8)</f>
        <v>0</v>
      </c>
      <c r="R57" s="4">
        <f>IF(K57&lt;&gt;"Yes",0,P57*Sales_Tax_Settings!$B$9)</f>
        <v>0</v>
      </c>
      <c r="S57" s="4">
        <f t="shared" si="6"/>
        <v>0</v>
      </c>
    </row>
    <row r="58" spans="1:19" x14ac:dyDescent="0.3">
      <c r="A58" t="str">
        <f>IF(Expense_Input!A58="","",Expense_Input!A58)</f>
        <v/>
      </c>
      <c r="B58" t="str">
        <f>IF(Expense_Input!B58="","",Expense_Input!B58)</f>
        <v/>
      </c>
      <c r="C58" t="str">
        <f t="shared" si="0"/>
        <v/>
      </c>
      <c r="D58" t="str">
        <f>IF(Expense_Input!C58="","",Expense_Input!C58)</f>
        <v/>
      </c>
      <c r="E58" s="4" t="str">
        <f>IF(Expense_Input!D58="","",Expense_Input!D58)</f>
        <v/>
      </c>
      <c r="F58" t="str">
        <f>IF(Expense_Input!E58="","",Expense_Input!E58)</f>
        <v/>
      </c>
      <c r="G58" t="str">
        <f>IF(Expense_Input!H58="","",Expense_Input!H58)</f>
        <v/>
      </c>
      <c r="H58" t="str">
        <f>IF(Expense_Input!I58="","Auto",Expense_Input!I58)</f>
        <v>Auto</v>
      </c>
      <c r="I58" t="str">
        <f>IF(F58="","",IFERROR(VLOOKUP(F58,Sales_Tax_Settings!$A$15:$B$27,2,FALSE),"Tax Unknown"))</f>
        <v/>
      </c>
      <c r="J58" t="str">
        <f t="shared" si="1"/>
        <v/>
      </c>
      <c r="K58" t="str">
        <f>IF(AND(Sales_Tax_Settings!$B$5="Yes",G58="Personal Expense",J58="Taxable"),"Yes","No")</f>
        <v>No</v>
      </c>
      <c r="L58" s="4">
        <f t="shared" si="2"/>
        <v>0</v>
      </c>
      <c r="M58" s="4">
        <f t="shared" si="3"/>
        <v>0</v>
      </c>
      <c r="N58" s="4">
        <f t="shared" si="4"/>
        <v>0</v>
      </c>
      <c r="O58" s="4">
        <f t="shared" si="5"/>
        <v>0</v>
      </c>
      <c r="P58" s="4">
        <f>IF(K58&lt;&gt;"Yes",0,IF(Sales_Tax_Settings!$B$6="Yes",E58/(1+Sales_Tax_Settings!$B$10),E58))</f>
        <v>0</v>
      </c>
      <c r="Q58" s="4">
        <f>IF(K58&lt;&gt;"Yes",0,P58*Sales_Tax_Settings!$B$8)</f>
        <v>0</v>
      </c>
      <c r="R58" s="4">
        <f>IF(K58&lt;&gt;"Yes",0,P58*Sales_Tax_Settings!$B$9)</f>
        <v>0</v>
      </c>
      <c r="S58" s="4">
        <f t="shared" si="6"/>
        <v>0</v>
      </c>
    </row>
    <row r="59" spans="1:19" x14ac:dyDescent="0.3">
      <c r="A59" t="str">
        <f>IF(Expense_Input!A59="","",Expense_Input!A59)</f>
        <v/>
      </c>
      <c r="B59" t="str">
        <f>IF(Expense_Input!B59="","",Expense_Input!B59)</f>
        <v/>
      </c>
      <c r="C59" t="str">
        <f t="shared" si="0"/>
        <v/>
      </c>
      <c r="D59" t="str">
        <f>IF(Expense_Input!C59="","",Expense_Input!C59)</f>
        <v/>
      </c>
      <c r="E59" s="4" t="str">
        <f>IF(Expense_Input!D59="","",Expense_Input!D59)</f>
        <v/>
      </c>
      <c r="F59" t="str">
        <f>IF(Expense_Input!E59="","",Expense_Input!E59)</f>
        <v/>
      </c>
      <c r="G59" t="str">
        <f>IF(Expense_Input!H59="","",Expense_Input!H59)</f>
        <v/>
      </c>
      <c r="H59" t="str">
        <f>IF(Expense_Input!I59="","Auto",Expense_Input!I59)</f>
        <v>Auto</v>
      </c>
      <c r="I59" t="str">
        <f>IF(F59="","",IFERROR(VLOOKUP(F59,Sales_Tax_Settings!$A$15:$B$27,2,FALSE),"Tax Unknown"))</f>
        <v/>
      </c>
      <c r="J59" t="str">
        <f t="shared" si="1"/>
        <v/>
      </c>
      <c r="K59" t="str">
        <f>IF(AND(Sales_Tax_Settings!$B$5="Yes",G59="Personal Expense",J59="Taxable"),"Yes","No")</f>
        <v>No</v>
      </c>
      <c r="L59" s="4">
        <f t="shared" si="2"/>
        <v>0</v>
      </c>
      <c r="M59" s="4">
        <f t="shared" si="3"/>
        <v>0</v>
      </c>
      <c r="N59" s="4">
        <f t="shared" si="4"/>
        <v>0</v>
      </c>
      <c r="O59" s="4">
        <f t="shared" si="5"/>
        <v>0</v>
      </c>
      <c r="P59" s="4">
        <f>IF(K59&lt;&gt;"Yes",0,IF(Sales_Tax_Settings!$B$6="Yes",E59/(1+Sales_Tax_Settings!$B$10),E59))</f>
        <v>0</v>
      </c>
      <c r="Q59" s="4">
        <f>IF(K59&lt;&gt;"Yes",0,P59*Sales_Tax_Settings!$B$8)</f>
        <v>0</v>
      </c>
      <c r="R59" s="4">
        <f>IF(K59&lt;&gt;"Yes",0,P59*Sales_Tax_Settings!$B$9)</f>
        <v>0</v>
      </c>
      <c r="S59" s="4">
        <f t="shared" si="6"/>
        <v>0</v>
      </c>
    </row>
    <row r="60" spans="1:19" x14ac:dyDescent="0.3">
      <c r="A60" t="str">
        <f>IF(Expense_Input!A60="","",Expense_Input!A60)</f>
        <v/>
      </c>
      <c r="B60" t="str">
        <f>IF(Expense_Input!B60="","",Expense_Input!B60)</f>
        <v/>
      </c>
      <c r="C60" t="str">
        <f t="shared" si="0"/>
        <v/>
      </c>
      <c r="D60" t="str">
        <f>IF(Expense_Input!C60="","",Expense_Input!C60)</f>
        <v/>
      </c>
      <c r="E60" s="4" t="str">
        <f>IF(Expense_Input!D60="","",Expense_Input!D60)</f>
        <v/>
      </c>
      <c r="F60" t="str">
        <f>IF(Expense_Input!E60="","",Expense_Input!E60)</f>
        <v/>
      </c>
      <c r="G60" t="str">
        <f>IF(Expense_Input!H60="","",Expense_Input!H60)</f>
        <v/>
      </c>
      <c r="H60" t="str">
        <f>IF(Expense_Input!I60="","Auto",Expense_Input!I60)</f>
        <v>Auto</v>
      </c>
      <c r="I60" t="str">
        <f>IF(F60="","",IFERROR(VLOOKUP(F60,Sales_Tax_Settings!$A$15:$B$27,2,FALSE),"Tax Unknown"))</f>
        <v/>
      </c>
      <c r="J60" t="str">
        <f t="shared" si="1"/>
        <v/>
      </c>
      <c r="K60" t="str">
        <f>IF(AND(Sales_Tax_Settings!$B$5="Yes",G60="Personal Expense",J60="Taxable"),"Yes","No")</f>
        <v>No</v>
      </c>
      <c r="L60" s="4">
        <f t="shared" si="2"/>
        <v>0</v>
      </c>
      <c r="M60" s="4">
        <f t="shared" si="3"/>
        <v>0</v>
      </c>
      <c r="N60" s="4">
        <f t="shared" si="4"/>
        <v>0</v>
      </c>
      <c r="O60" s="4">
        <f t="shared" si="5"/>
        <v>0</v>
      </c>
      <c r="P60" s="4">
        <f>IF(K60&lt;&gt;"Yes",0,IF(Sales_Tax_Settings!$B$6="Yes",E60/(1+Sales_Tax_Settings!$B$10),E60))</f>
        <v>0</v>
      </c>
      <c r="Q60" s="4">
        <f>IF(K60&lt;&gt;"Yes",0,P60*Sales_Tax_Settings!$B$8)</f>
        <v>0</v>
      </c>
      <c r="R60" s="4">
        <f>IF(K60&lt;&gt;"Yes",0,P60*Sales_Tax_Settings!$B$9)</f>
        <v>0</v>
      </c>
      <c r="S60" s="4">
        <f t="shared" si="6"/>
        <v>0</v>
      </c>
    </row>
    <row r="61" spans="1:19" x14ac:dyDescent="0.3">
      <c r="A61" t="str">
        <f>IF(Expense_Input!A61="","",Expense_Input!A61)</f>
        <v/>
      </c>
      <c r="B61" t="str">
        <f>IF(Expense_Input!B61="","",Expense_Input!B61)</f>
        <v/>
      </c>
      <c r="C61" t="str">
        <f t="shared" si="0"/>
        <v/>
      </c>
      <c r="D61" t="str">
        <f>IF(Expense_Input!C61="","",Expense_Input!C61)</f>
        <v/>
      </c>
      <c r="E61" s="4" t="str">
        <f>IF(Expense_Input!D61="","",Expense_Input!D61)</f>
        <v/>
      </c>
      <c r="F61" t="str">
        <f>IF(Expense_Input!E61="","",Expense_Input!E61)</f>
        <v/>
      </c>
      <c r="G61" t="str">
        <f>IF(Expense_Input!H61="","",Expense_Input!H61)</f>
        <v/>
      </c>
      <c r="H61" t="str">
        <f>IF(Expense_Input!I61="","Auto",Expense_Input!I61)</f>
        <v>Auto</v>
      </c>
      <c r="I61" t="str">
        <f>IF(F61="","",IFERROR(VLOOKUP(F61,Sales_Tax_Settings!$A$15:$B$27,2,FALSE),"Tax Unknown"))</f>
        <v/>
      </c>
      <c r="J61" t="str">
        <f t="shared" si="1"/>
        <v/>
      </c>
      <c r="K61" t="str">
        <f>IF(AND(Sales_Tax_Settings!$B$5="Yes",G61="Personal Expense",J61="Taxable"),"Yes","No")</f>
        <v>No</v>
      </c>
      <c r="L61" s="4">
        <f t="shared" si="2"/>
        <v>0</v>
      </c>
      <c r="M61" s="4">
        <f t="shared" si="3"/>
        <v>0</v>
      </c>
      <c r="N61" s="4">
        <f t="shared" si="4"/>
        <v>0</v>
      </c>
      <c r="O61" s="4">
        <f t="shared" si="5"/>
        <v>0</v>
      </c>
      <c r="P61" s="4">
        <f>IF(K61&lt;&gt;"Yes",0,IF(Sales_Tax_Settings!$B$6="Yes",E61/(1+Sales_Tax_Settings!$B$10),E61))</f>
        <v>0</v>
      </c>
      <c r="Q61" s="4">
        <f>IF(K61&lt;&gt;"Yes",0,P61*Sales_Tax_Settings!$B$8)</f>
        <v>0</v>
      </c>
      <c r="R61" s="4">
        <f>IF(K61&lt;&gt;"Yes",0,P61*Sales_Tax_Settings!$B$9)</f>
        <v>0</v>
      </c>
      <c r="S61" s="4">
        <f t="shared" si="6"/>
        <v>0</v>
      </c>
    </row>
    <row r="62" spans="1:19" x14ac:dyDescent="0.3">
      <c r="A62" t="str">
        <f>IF(Expense_Input!A62="","",Expense_Input!A62)</f>
        <v/>
      </c>
      <c r="B62" t="str">
        <f>IF(Expense_Input!B62="","",Expense_Input!B62)</f>
        <v/>
      </c>
      <c r="C62" t="str">
        <f t="shared" si="0"/>
        <v/>
      </c>
      <c r="D62" t="str">
        <f>IF(Expense_Input!C62="","",Expense_Input!C62)</f>
        <v/>
      </c>
      <c r="E62" s="4" t="str">
        <f>IF(Expense_Input!D62="","",Expense_Input!D62)</f>
        <v/>
      </c>
      <c r="F62" t="str">
        <f>IF(Expense_Input!E62="","",Expense_Input!E62)</f>
        <v/>
      </c>
      <c r="G62" t="str">
        <f>IF(Expense_Input!H62="","",Expense_Input!H62)</f>
        <v/>
      </c>
      <c r="H62" t="str">
        <f>IF(Expense_Input!I62="","Auto",Expense_Input!I62)</f>
        <v>Auto</v>
      </c>
      <c r="I62" t="str">
        <f>IF(F62="","",IFERROR(VLOOKUP(F62,Sales_Tax_Settings!$A$15:$B$27,2,FALSE),"Tax Unknown"))</f>
        <v/>
      </c>
      <c r="J62" t="str">
        <f t="shared" si="1"/>
        <v/>
      </c>
      <c r="K62" t="str">
        <f>IF(AND(Sales_Tax_Settings!$B$5="Yes",G62="Personal Expense",J62="Taxable"),"Yes","No")</f>
        <v>No</v>
      </c>
      <c r="L62" s="4">
        <f t="shared" si="2"/>
        <v>0</v>
      </c>
      <c r="M62" s="4">
        <f t="shared" si="3"/>
        <v>0</v>
      </c>
      <c r="N62" s="4">
        <f t="shared" si="4"/>
        <v>0</v>
      </c>
      <c r="O62" s="4">
        <f t="shared" si="5"/>
        <v>0</v>
      </c>
      <c r="P62" s="4">
        <f>IF(K62&lt;&gt;"Yes",0,IF(Sales_Tax_Settings!$B$6="Yes",E62/(1+Sales_Tax_Settings!$B$10),E62))</f>
        <v>0</v>
      </c>
      <c r="Q62" s="4">
        <f>IF(K62&lt;&gt;"Yes",0,P62*Sales_Tax_Settings!$B$8)</f>
        <v>0</v>
      </c>
      <c r="R62" s="4">
        <f>IF(K62&lt;&gt;"Yes",0,P62*Sales_Tax_Settings!$B$9)</f>
        <v>0</v>
      </c>
      <c r="S62" s="4">
        <f t="shared" si="6"/>
        <v>0</v>
      </c>
    </row>
    <row r="63" spans="1:19" x14ac:dyDescent="0.3">
      <c r="A63" t="str">
        <f>IF(Expense_Input!A63="","",Expense_Input!A63)</f>
        <v/>
      </c>
      <c r="B63" t="str">
        <f>IF(Expense_Input!B63="","",Expense_Input!B63)</f>
        <v/>
      </c>
      <c r="C63" t="str">
        <f t="shared" si="0"/>
        <v/>
      </c>
      <c r="D63" t="str">
        <f>IF(Expense_Input!C63="","",Expense_Input!C63)</f>
        <v/>
      </c>
      <c r="E63" s="4" t="str">
        <f>IF(Expense_Input!D63="","",Expense_Input!D63)</f>
        <v/>
      </c>
      <c r="F63" t="str">
        <f>IF(Expense_Input!E63="","",Expense_Input!E63)</f>
        <v/>
      </c>
      <c r="G63" t="str">
        <f>IF(Expense_Input!H63="","",Expense_Input!H63)</f>
        <v/>
      </c>
      <c r="H63" t="str">
        <f>IF(Expense_Input!I63="","Auto",Expense_Input!I63)</f>
        <v>Auto</v>
      </c>
      <c r="I63" t="str">
        <f>IF(F63="","",IFERROR(VLOOKUP(F63,Sales_Tax_Settings!$A$15:$B$27,2,FALSE),"Tax Unknown"))</f>
        <v/>
      </c>
      <c r="J63" t="str">
        <f t="shared" si="1"/>
        <v/>
      </c>
      <c r="K63" t="str">
        <f>IF(AND(Sales_Tax_Settings!$B$5="Yes",G63="Personal Expense",J63="Taxable"),"Yes","No")</f>
        <v>No</v>
      </c>
      <c r="L63" s="4">
        <f t="shared" si="2"/>
        <v>0</v>
      </c>
      <c r="M63" s="4">
        <f t="shared" si="3"/>
        <v>0</v>
      </c>
      <c r="N63" s="4">
        <f t="shared" si="4"/>
        <v>0</v>
      </c>
      <c r="O63" s="4">
        <f t="shared" si="5"/>
        <v>0</v>
      </c>
      <c r="P63" s="4">
        <f>IF(K63&lt;&gt;"Yes",0,IF(Sales_Tax_Settings!$B$6="Yes",E63/(1+Sales_Tax_Settings!$B$10),E63))</f>
        <v>0</v>
      </c>
      <c r="Q63" s="4">
        <f>IF(K63&lt;&gt;"Yes",0,P63*Sales_Tax_Settings!$B$8)</f>
        <v>0</v>
      </c>
      <c r="R63" s="4">
        <f>IF(K63&lt;&gt;"Yes",0,P63*Sales_Tax_Settings!$B$9)</f>
        <v>0</v>
      </c>
      <c r="S63" s="4">
        <f t="shared" si="6"/>
        <v>0</v>
      </c>
    </row>
    <row r="64" spans="1:19" x14ac:dyDescent="0.3">
      <c r="A64" t="str">
        <f>IF(Expense_Input!A64="","",Expense_Input!A64)</f>
        <v/>
      </c>
      <c r="B64" t="str">
        <f>IF(Expense_Input!B64="","",Expense_Input!B64)</f>
        <v/>
      </c>
      <c r="C64" t="str">
        <f t="shared" si="0"/>
        <v/>
      </c>
      <c r="D64" t="str">
        <f>IF(Expense_Input!C64="","",Expense_Input!C64)</f>
        <v/>
      </c>
      <c r="E64" s="4" t="str">
        <f>IF(Expense_Input!D64="","",Expense_Input!D64)</f>
        <v/>
      </c>
      <c r="F64" t="str">
        <f>IF(Expense_Input!E64="","",Expense_Input!E64)</f>
        <v/>
      </c>
      <c r="G64" t="str">
        <f>IF(Expense_Input!H64="","",Expense_Input!H64)</f>
        <v/>
      </c>
      <c r="H64" t="str">
        <f>IF(Expense_Input!I64="","Auto",Expense_Input!I64)</f>
        <v>Auto</v>
      </c>
      <c r="I64" t="str">
        <f>IF(F64="","",IFERROR(VLOOKUP(F64,Sales_Tax_Settings!$A$15:$B$27,2,FALSE),"Tax Unknown"))</f>
        <v/>
      </c>
      <c r="J64" t="str">
        <f t="shared" si="1"/>
        <v/>
      </c>
      <c r="K64" t="str">
        <f>IF(AND(Sales_Tax_Settings!$B$5="Yes",G64="Personal Expense",J64="Taxable"),"Yes","No")</f>
        <v>No</v>
      </c>
      <c r="L64" s="4">
        <f t="shared" si="2"/>
        <v>0</v>
      </c>
      <c r="M64" s="4">
        <f t="shared" si="3"/>
        <v>0</v>
      </c>
      <c r="N64" s="4">
        <f t="shared" si="4"/>
        <v>0</v>
      </c>
      <c r="O64" s="4">
        <f t="shared" si="5"/>
        <v>0</v>
      </c>
      <c r="P64" s="4">
        <f>IF(K64&lt;&gt;"Yes",0,IF(Sales_Tax_Settings!$B$6="Yes",E64/(1+Sales_Tax_Settings!$B$10),E64))</f>
        <v>0</v>
      </c>
      <c r="Q64" s="4">
        <f>IF(K64&lt;&gt;"Yes",0,P64*Sales_Tax_Settings!$B$8)</f>
        <v>0</v>
      </c>
      <c r="R64" s="4">
        <f>IF(K64&lt;&gt;"Yes",0,P64*Sales_Tax_Settings!$B$9)</f>
        <v>0</v>
      </c>
      <c r="S64" s="4">
        <f t="shared" si="6"/>
        <v>0</v>
      </c>
    </row>
    <row r="65" spans="1:19" x14ac:dyDescent="0.3">
      <c r="A65" t="str">
        <f>IF(Expense_Input!A65="","",Expense_Input!A65)</f>
        <v/>
      </c>
      <c r="B65" t="str">
        <f>IF(Expense_Input!B65="","",Expense_Input!B65)</f>
        <v/>
      </c>
      <c r="C65" t="str">
        <f t="shared" si="0"/>
        <v/>
      </c>
      <c r="D65" t="str">
        <f>IF(Expense_Input!C65="","",Expense_Input!C65)</f>
        <v/>
      </c>
      <c r="E65" s="4" t="str">
        <f>IF(Expense_Input!D65="","",Expense_Input!D65)</f>
        <v/>
      </c>
      <c r="F65" t="str">
        <f>IF(Expense_Input!E65="","",Expense_Input!E65)</f>
        <v/>
      </c>
      <c r="G65" t="str">
        <f>IF(Expense_Input!H65="","",Expense_Input!H65)</f>
        <v/>
      </c>
      <c r="H65" t="str">
        <f>IF(Expense_Input!I65="","Auto",Expense_Input!I65)</f>
        <v>Auto</v>
      </c>
      <c r="I65" t="str">
        <f>IF(F65="","",IFERROR(VLOOKUP(F65,Sales_Tax_Settings!$A$15:$B$27,2,FALSE),"Tax Unknown"))</f>
        <v/>
      </c>
      <c r="J65" t="str">
        <f t="shared" si="1"/>
        <v/>
      </c>
      <c r="K65" t="str">
        <f>IF(AND(Sales_Tax_Settings!$B$5="Yes",G65="Personal Expense",J65="Taxable"),"Yes","No")</f>
        <v>No</v>
      </c>
      <c r="L65" s="4">
        <f t="shared" si="2"/>
        <v>0</v>
      </c>
      <c r="M65" s="4">
        <f t="shared" si="3"/>
        <v>0</v>
      </c>
      <c r="N65" s="4">
        <f t="shared" si="4"/>
        <v>0</v>
      </c>
      <c r="O65" s="4">
        <f t="shared" si="5"/>
        <v>0</v>
      </c>
      <c r="P65" s="4">
        <f>IF(K65&lt;&gt;"Yes",0,IF(Sales_Tax_Settings!$B$6="Yes",E65/(1+Sales_Tax_Settings!$B$10),E65))</f>
        <v>0</v>
      </c>
      <c r="Q65" s="4">
        <f>IF(K65&lt;&gt;"Yes",0,P65*Sales_Tax_Settings!$B$8)</f>
        <v>0</v>
      </c>
      <c r="R65" s="4">
        <f>IF(K65&lt;&gt;"Yes",0,P65*Sales_Tax_Settings!$B$9)</f>
        <v>0</v>
      </c>
      <c r="S65" s="4">
        <f t="shared" si="6"/>
        <v>0</v>
      </c>
    </row>
    <row r="66" spans="1:19" x14ac:dyDescent="0.3">
      <c r="A66" t="str">
        <f>IF(Expense_Input!A66="","",Expense_Input!A66)</f>
        <v/>
      </c>
      <c r="B66" t="str">
        <f>IF(Expense_Input!B66="","",Expense_Input!B66)</f>
        <v/>
      </c>
      <c r="C66" t="str">
        <f t="shared" si="0"/>
        <v/>
      </c>
      <c r="D66" t="str">
        <f>IF(Expense_Input!C66="","",Expense_Input!C66)</f>
        <v/>
      </c>
      <c r="E66" s="4" t="str">
        <f>IF(Expense_Input!D66="","",Expense_Input!D66)</f>
        <v/>
      </c>
      <c r="F66" t="str">
        <f>IF(Expense_Input!E66="","",Expense_Input!E66)</f>
        <v/>
      </c>
      <c r="G66" t="str">
        <f>IF(Expense_Input!H66="","",Expense_Input!H66)</f>
        <v/>
      </c>
      <c r="H66" t="str">
        <f>IF(Expense_Input!I66="","Auto",Expense_Input!I66)</f>
        <v>Auto</v>
      </c>
      <c r="I66" t="str">
        <f>IF(F66="","",IFERROR(VLOOKUP(F66,Sales_Tax_Settings!$A$15:$B$27,2,FALSE),"Tax Unknown"))</f>
        <v/>
      </c>
      <c r="J66" t="str">
        <f t="shared" si="1"/>
        <v/>
      </c>
      <c r="K66" t="str">
        <f>IF(AND(Sales_Tax_Settings!$B$5="Yes",G66="Personal Expense",J66="Taxable"),"Yes","No")</f>
        <v>No</v>
      </c>
      <c r="L66" s="4">
        <f t="shared" si="2"/>
        <v>0</v>
      </c>
      <c r="M66" s="4">
        <f t="shared" si="3"/>
        <v>0</v>
      </c>
      <c r="N66" s="4">
        <f t="shared" si="4"/>
        <v>0</v>
      </c>
      <c r="O66" s="4">
        <f t="shared" si="5"/>
        <v>0</v>
      </c>
      <c r="P66" s="4">
        <f>IF(K66&lt;&gt;"Yes",0,IF(Sales_Tax_Settings!$B$6="Yes",E66/(1+Sales_Tax_Settings!$B$10),E66))</f>
        <v>0</v>
      </c>
      <c r="Q66" s="4">
        <f>IF(K66&lt;&gt;"Yes",0,P66*Sales_Tax_Settings!$B$8)</f>
        <v>0</v>
      </c>
      <c r="R66" s="4">
        <f>IF(K66&lt;&gt;"Yes",0,P66*Sales_Tax_Settings!$B$9)</f>
        <v>0</v>
      </c>
      <c r="S66" s="4">
        <f t="shared" si="6"/>
        <v>0</v>
      </c>
    </row>
    <row r="67" spans="1:19" x14ac:dyDescent="0.3">
      <c r="A67" t="str">
        <f>IF(Expense_Input!A67="","",Expense_Input!A67)</f>
        <v/>
      </c>
      <c r="B67" t="str">
        <f>IF(Expense_Input!B67="","",Expense_Input!B67)</f>
        <v/>
      </c>
      <c r="C67" t="str">
        <f t="shared" si="0"/>
        <v/>
      </c>
      <c r="D67" t="str">
        <f>IF(Expense_Input!C67="","",Expense_Input!C67)</f>
        <v/>
      </c>
      <c r="E67" s="4" t="str">
        <f>IF(Expense_Input!D67="","",Expense_Input!D67)</f>
        <v/>
      </c>
      <c r="F67" t="str">
        <f>IF(Expense_Input!E67="","",Expense_Input!E67)</f>
        <v/>
      </c>
      <c r="G67" t="str">
        <f>IF(Expense_Input!H67="","",Expense_Input!H67)</f>
        <v/>
      </c>
      <c r="H67" t="str">
        <f>IF(Expense_Input!I67="","Auto",Expense_Input!I67)</f>
        <v>Auto</v>
      </c>
      <c r="I67" t="str">
        <f>IF(F67="","",IFERROR(VLOOKUP(F67,Sales_Tax_Settings!$A$15:$B$27,2,FALSE),"Tax Unknown"))</f>
        <v/>
      </c>
      <c r="J67" t="str">
        <f t="shared" si="1"/>
        <v/>
      </c>
      <c r="K67" t="str">
        <f>IF(AND(Sales_Tax_Settings!$B$5="Yes",G67="Personal Expense",J67="Taxable"),"Yes","No")</f>
        <v>No</v>
      </c>
      <c r="L67" s="4">
        <f t="shared" si="2"/>
        <v>0</v>
      </c>
      <c r="M67" s="4">
        <f t="shared" si="3"/>
        <v>0</v>
      </c>
      <c r="N67" s="4">
        <f t="shared" si="4"/>
        <v>0</v>
      </c>
      <c r="O67" s="4">
        <f t="shared" si="5"/>
        <v>0</v>
      </c>
      <c r="P67" s="4">
        <f>IF(K67&lt;&gt;"Yes",0,IF(Sales_Tax_Settings!$B$6="Yes",E67/(1+Sales_Tax_Settings!$B$10),E67))</f>
        <v>0</v>
      </c>
      <c r="Q67" s="4">
        <f>IF(K67&lt;&gt;"Yes",0,P67*Sales_Tax_Settings!$B$8)</f>
        <v>0</v>
      </c>
      <c r="R67" s="4">
        <f>IF(K67&lt;&gt;"Yes",0,P67*Sales_Tax_Settings!$B$9)</f>
        <v>0</v>
      </c>
      <c r="S67" s="4">
        <f t="shared" si="6"/>
        <v>0</v>
      </c>
    </row>
    <row r="68" spans="1:19" x14ac:dyDescent="0.3">
      <c r="A68" t="str">
        <f>IF(Expense_Input!A68="","",Expense_Input!A68)</f>
        <v/>
      </c>
      <c r="B68" t="str">
        <f>IF(Expense_Input!B68="","",Expense_Input!B68)</f>
        <v/>
      </c>
      <c r="C68" t="str">
        <f t="shared" ref="C68:C131" si="7">IF(B68="","",TEXT(B68,"yyyy-mm"))</f>
        <v/>
      </c>
      <c r="D68" t="str">
        <f>IF(Expense_Input!C68="","",Expense_Input!C68)</f>
        <v/>
      </c>
      <c r="E68" s="4" t="str">
        <f>IF(Expense_Input!D68="","",Expense_Input!D68)</f>
        <v/>
      </c>
      <c r="F68" t="str">
        <f>IF(Expense_Input!E68="","",Expense_Input!E68)</f>
        <v/>
      </c>
      <c r="G68" t="str">
        <f>IF(Expense_Input!H68="","",Expense_Input!H68)</f>
        <v/>
      </c>
      <c r="H68" t="str">
        <f>IF(Expense_Input!I68="","Auto",Expense_Input!I68)</f>
        <v>Auto</v>
      </c>
      <c r="I68" t="str">
        <f>IF(F68="","",IFERROR(VLOOKUP(F68,Sales_Tax_Settings!$A$15:$B$27,2,FALSE),"Tax Unknown"))</f>
        <v/>
      </c>
      <c r="J68" t="str">
        <f t="shared" ref="J68:J131" si="8">IF(D68="","",IF(H68="Auto",I68,H68))</f>
        <v/>
      </c>
      <c r="K68" t="str">
        <f>IF(AND(Sales_Tax_Settings!$B$5="Yes",G68="Personal Expense",J68="Taxable"),"Yes","No")</f>
        <v>No</v>
      </c>
      <c r="L68" s="4">
        <f t="shared" ref="L68:L131" si="9">IF(K68="Yes",E68,0)</f>
        <v>0</v>
      </c>
      <c r="M68" s="4">
        <f t="shared" ref="M68:M131" si="10">IF(AND(G68="Personal Expense",J68="Zero-rated"),E68,0)</f>
        <v>0</v>
      </c>
      <c r="N68" s="4">
        <f t="shared" ref="N68:N131" si="11">IF(AND(G68="Personal Expense",J68="Exempt"),E68,0)</f>
        <v>0</v>
      </c>
      <c r="O68" s="4">
        <f t="shared" ref="O68:O131" si="12">IF(AND(G68="Personal Expense",OR(J68="Tax Unknown",J68="Not Applicable")),E68,0)</f>
        <v>0</v>
      </c>
      <c r="P68" s="4">
        <f>IF(K68&lt;&gt;"Yes",0,IF(Sales_Tax_Settings!$B$6="Yes",E68/(1+Sales_Tax_Settings!$B$10),E68))</f>
        <v>0</v>
      </c>
      <c r="Q68" s="4">
        <f>IF(K68&lt;&gt;"Yes",0,P68*Sales_Tax_Settings!$B$8)</f>
        <v>0</v>
      </c>
      <c r="R68" s="4">
        <f>IF(K68&lt;&gt;"Yes",0,P68*Sales_Tax_Settings!$B$9)</f>
        <v>0</v>
      </c>
      <c r="S68" s="4">
        <f t="shared" ref="S68:S131" si="13">Q68+R68</f>
        <v>0</v>
      </c>
    </row>
    <row r="69" spans="1:19" x14ac:dyDescent="0.3">
      <c r="A69" t="str">
        <f>IF(Expense_Input!A69="","",Expense_Input!A69)</f>
        <v/>
      </c>
      <c r="B69" t="str">
        <f>IF(Expense_Input!B69="","",Expense_Input!B69)</f>
        <v/>
      </c>
      <c r="C69" t="str">
        <f t="shared" si="7"/>
        <v/>
      </c>
      <c r="D69" t="str">
        <f>IF(Expense_Input!C69="","",Expense_Input!C69)</f>
        <v/>
      </c>
      <c r="E69" s="4" t="str">
        <f>IF(Expense_Input!D69="","",Expense_Input!D69)</f>
        <v/>
      </c>
      <c r="F69" t="str">
        <f>IF(Expense_Input!E69="","",Expense_Input!E69)</f>
        <v/>
      </c>
      <c r="G69" t="str">
        <f>IF(Expense_Input!H69="","",Expense_Input!H69)</f>
        <v/>
      </c>
      <c r="H69" t="str">
        <f>IF(Expense_Input!I69="","Auto",Expense_Input!I69)</f>
        <v>Auto</v>
      </c>
      <c r="I69" t="str">
        <f>IF(F69="","",IFERROR(VLOOKUP(F69,Sales_Tax_Settings!$A$15:$B$27,2,FALSE),"Tax Unknown"))</f>
        <v/>
      </c>
      <c r="J69" t="str">
        <f t="shared" si="8"/>
        <v/>
      </c>
      <c r="K69" t="str">
        <f>IF(AND(Sales_Tax_Settings!$B$5="Yes",G69="Personal Expense",J69="Taxable"),"Yes","No")</f>
        <v>No</v>
      </c>
      <c r="L69" s="4">
        <f t="shared" si="9"/>
        <v>0</v>
      </c>
      <c r="M69" s="4">
        <f t="shared" si="10"/>
        <v>0</v>
      </c>
      <c r="N69" s="4">
        <f t="shared" si="11"/>
        <v>0</v>
      </c>
      <c r="O69" s="4">
        <f t="shared" si="12"/>
        <v>0</v>
      </c>
      <c r="P69" s="4">
        <f>IF(K69&lt;&gt;"Yes",0,IF(Sales_Tax_Settings!$B$6="Yes",E69/(1+Sales_Tax_Settings!$B$10),E69))</f>
        <v>0</v>
      </c>
      <c r="Q69" s="4">
        <f>IF(K69&lt;&gt;"Yes",0,P69*Sales_Tax_Settings!$B$8)</f>
        <v>0</v>
      </c>
      <c r="R69" s="4">
        <f>IF(K69&lt;&gt;"Yes",0,P69*Sales_Tax_Settings!$B$9)</f>
        <v>0</v>
      </c>
      <c r="S69" s="4">
        <f t="shared" si="13"/>
        <v>0</v>
      </c>
    </row>
    <row r="70" spans="1:19" x14ac:dyDescent="0.3">
      <c r="A70" t="str">
        <f>IF(Expense_Input!A70="","",Expense_Input!A70)</f>
        <v/>
      </c>
      <c r="B70" t="str">
        <f>IF(Expense_Input!B70="","",Expense_Input!B70)</f>
        <v/>
      </c>
      <c r="C70" t="str">
        <f t="shared" si="7"/>
        <v/>
      </c>
      <c r="D70" t="str">
        <f>IF(Expense_Input!C70="","",Expense_Input!C70)</f>
        <v/>
      </c>
      <c r="E70" s="4" t="str">
        <f>IF(Expense_Input!D70="","",Expense_Input!D70)</f>
        <v/>
      </c>
      <c r="F70" t="str">
        <f>IF(Expense_Input!E70="","",Expense_Input!E70)</f>
        <v/>
      </c>
      <c r="G70" t="str">
        <f>IF(Expense_Input!H70="","",Expense_Input!H70)</f>
        <v/>
      </c>
      <c r="H70" t="str">
        <f>IF(Expense_Input!I70="","Auto",Expense_Input!I70)</f>
        <v>Auto</v>
      </c>
      <c r="I70" t="str">
        <f>IF(F70="","",IFERROR(VLOOKUP(F70,Sales_Tax_Settings!$A$15:$B$27,2,FALSE),"Tax Unknown"))</f>
        <v/>
      </c>
      <c r="J70" t="str">
        <f t="shared" si="8"/>
        <v/>
      </c>
      <c r="K70" t="str">
        <f>IF(AND(Sales_Tax_Settings!$B$5="Yes",G70="Personal Expense",J70="Taxable"),"Yes","No")</f>
        <v>No</v>
      </c>
      <c r="L70" s="4">
        <f t="shared" si="9"/>
        <v>0</v>
      </c>
      <c r="M70" s="4">
        <f t="shared" si="10"/>
        <v>0</v>
      </c>
      <c r="N70" s="4">
        <f t="shared" si="11"/>
        <v>0</v>
      </c>
      <c r="O70" s="4">
        <f t="shared" si="12"/>
        <v>0</v>
      </c>
      <c r="P70" s="4">
        <f>IF(K70&lt;&gt;"Yes",0,IF(Sales_Tax_Settings!$B$6="Yes",E70/(1+Sales_Tax_Settings!$B$10),E70))</f>
        <v>0</v>
      </c>
      <c r="Q70" s="4">
        <f>IF(K70&lt;&gt;"Yes",0,P70*Sales_Tax_Settings!$B$8)</f>
        <v>0</v>
      </c>
      <c r="R70" s="4">
        <f>IF(K70&lt;&gt;"Yes",0,P70*Sales_Tax_Settings!$B$9)</f>
        <v>0</v>
      </c>
      <c r="S70" s="4">
        <f t="shared" si="13"/>
        <v>0</v>
      </c>
    </row>
    <row r="71" spans="1:19" x14ac:dyDescent="0.3">
      <c r="A71" t="str">
        <f>IF(Expense_Input!A71="","",Expense_Input!A71)</f>
        <v/>
      </c>
      <c r="B71" t="str">
        <f>IF(Expense_Input!B71="","",Expense_Input!B71)</f>
        <v/>
      </c>
      <c r="C71" t="str">
        <f t="shared" si="7"/>
        <v/>
      </c>
      <c r="D71" t="str">
        <f>IF(Expense_Input!C71="","",Expense_Input!C71)</f>
        <v/>
      </c>
      <c r="E71" s="4" t="str">
        <f>IF(Expense_Input!D71="","",Expense_Input!D71)</f>
        <v/>
      </c>
      <c r="F71" t="str">
        <f>IF(Expense_Input!E71="","",Expense_Input!E71)</f>
        <v/>
      </c>
      <c r="G71" t="str">
        <f>IF(Expense_Input!H71="","",Expense_Input!H71)</f>
        <v/>
      </c>
      <c r="H71" t="str">
        <f>IF(Expense_Input!I71="","Auto",Expense_Input!I71)</f>
        <v>Auto</v>
      </c>
      <c r="I71" t="str">
        <f>IF(F71="","",IFERROR(VLOOKUP(F71,Sales_Tax_Settings!$A$15:$B$27,2,FALSE),"Tax Unknown"))</f>
        <v/>
      </c>
      <c r="J71" t="str">
        <f t="shared" si="8"/>
        <v/>
      </c>
      <c r="K71" t="str">
        <f>IF(AND(Sales_Tax_Settings!$B$5="Yes",G71="Personal Expense",J71="Taxable"),"Yes","No")</f>
        <v>No</v>
      </c>
      <c r="L71" s="4">
        <f t="shared" si="9"/>
        <v>0</v>
      </c>
      <c r="M71" s="4">
        <f t="shared" si="10"/>
        <v>0</v>
      </c>
      <c r="N71" s="4">
        <f t="shared" si="11"/>
        <v>0</v>
      </c>
      <c r="O71" s="4">
        <f t="shared" si="12"/>
        <v>0</v>
      </c>
      <c r="P71" s="4">
        <f>IF(K71&lt;&gt;"Yes",0,IF(Sales_Tax_Settings!$B$6="Yes",E71/(1+Sales_Tax_Settings!$B$10),E71))</f>
        <v>0</v>
      </c>
      <c r="Q71" s="4">
        <f>IF(K71&lt;&gt;"Yes",0,P71*Sales_Tax_Settings!$B$8)</f>
        <v>0</v>
      </c>
      <c r="R71" s="4">
        <f>IF(K71&lt;&gt;"Yes",0,P71*Sales_Tax_Settings!$B$9)</f>
        <v>0</v>
      </c>
      <c r="S71" s="4">
        <f t="shared" si="13"/>
        <v>0</v>
      </c>
    </row>
    <row r="72" spans="1:19" x14ac:dyDescent="0.3">
      <c r="A72" t="str">
        <f>IF(Expense_Input!A72="","",Expense_Input!A72)</f>
        <v/>
      </c>
      <c r="B72" t="str">
        <f>IF(Expense_Input!B72="","",Expense_Input!B72)</f>
        <v/>
      </c>
      <c r="C72" t="str">
        <f t="shared" si="7"/>
        <v/>
      </c>
      <c r="D72" t="str">
        <f>IF(Expense_Input!C72="","",Expense_Input!C72)</f>
        <v/>
      </c>
      <c r="E72" s="4" t="str">
        <f>IF(Expense_Input!D72="","",Expense_Input!D72)</f>
        <v/>
      </c>
      <c r="F72" t="str">
        <f>IF(Expense_Input!E72="","",Expense_Input!E72)</f>
        <v/>
      </c>
      <c r="G72" t="str">
        <f>IF(Expense_Input!H72="","",Expense_Input!H72)</f>
        <v/>
      </c>
      <c r="H72" t="str">
        <f>IF(Expense_Input!I72="","Auto",Expense_Input!I72)</f>
        <v>Auto</v>
      </c>
      <c r="I72" t="str">
        <f>IF(F72="","",IFERROR(VLOOKUP(F72,Sales_Tax_Settings!$A$15:$B$27,2,FALSE),"Tax Unknown"))</f>
        <v/>
      </c>
      <c r="J72" t="str">
        <f t="shared" si="8"/>
        <v/>
      </c>
      <c r="K72" t="str">
        <f>IF(AND(Sales_Tax_Settings!$B$5="Yes",G72="Personal Expense",J72="Taxable"),"Yes","No")</f>
        <v>No</v>
      </c>
      <c r="L72" s="4">
        <f t="shared" si="9"/>
        <v>0</v>
      </c>
      <c r="M72" s="4">
        <f t="shared" si="10"/>
        <v>0</v>
      </c>
      <c r="N72" s="4">
        <f t="shared" si="11"/>
        <v>0</v>
      </c>
      <c r="O72" s="4">
        <f t="shared" si="12"/>
        <v>0</v>
      </c>
      <c r="P72" s="4">
        <f>IF(K72&lt;&gt;"Yes",0,IF(Sales_Tax_Settings!$B$6="Yes",E72/(1+Sales_Tax_Settings!$B$10),E72))</f>
        <v>0</v>
      </c>
      <c r="Q72" s="4">
        <f>IF(K72&lt;&gt;"Yes",0,P72*Sales_Tax_Settings!$B$8)</f>
        <v>0</v>
      </c>
      <c r="R72" s="4">
        <f>IF(K72&lt;&gt;"Yes",0,P72*Sales_Tax_Settings!$B$9)</f>
        <v>0</v>
      </c>
      <c r="S72" s="4">
        <f t="shared" si="13"/>
        <v>0</v>
      </c>
    </row>
    <row r="73" spans="1:19" x14ac:dyDescent="0.3">
      <c r="A73" t="str">
        <f>IF(Expense_Input!A73="","",Expense_Input!A73)</f>
        <v/>
      </c>
      <c r="B73" t="str">
        <f>IF(Expense_Input!B73="","",Expense_Input!B73)</f>
        <v/>
      </c>
      <c r="C73" t="str">
        <f t="shared" si="7"/>
        <v/>
      </c>
      <c r="D73" t="str">
        <f>IF(Expense_Input!C73="","",Expense_Input!C73)</f>
        <v/>
      </c>
      <c r="E73" s="4" t="str">
        <f>IF(Expense_Input!D73="","",Expense_Input!D73)</f>
        <v/>
      </c>
      <c r="F73" t="str">
        <f>IF(Expense_Input!E73="","",Expense_Input!E73)</f>
        <v/>
      </c>
      <c r="G73" t="str">
        <f>IF(Expense_Input!H73="","",Expense_Input!H73)</f>
        <v/>
      </c>
      <c r="H73" t="str">
        <f>IF(Expense_Input!I73="","Auto",Expense_Input!I73)</f>
        <v>Auto</v>
      </c>
      <c r="I73" t="str">
        <f>IF(F73="","",IFERROR(VLOOKUP(F73,Sales_Tax_Settings!$A$15:$B$27,2,FALSE),"Tax Unknown"))</f>
        <v/>
      </c>
      <c r="J73" t="str">
        <f t="shared" si="8"/>
        <v/>
      </c>
      <c r="K73" t="str">
        <f>IF(AND(Sales_Tax_Settings!$B$5="Yes",G73="Personal Expense",J73="Taxable"),"Yes","No")</f>
        <v>No</v>
      </c>
      <c r="L73" s="4">
        <f t="shared" si="9"/>
        <v>0</v>
      </c>
      <c r="M73" s="4">
        <f t="shared" si="10"/>
        <v>0</v>
      </c>
      <c r="N73" s="4">
        <f t="shared" si="11"/>
        <v>0</v>
      </c>
      <c r="O73" s="4">
        <f t="shared" si="12"/>
        <v>0</v>
      </c>
      <c r="P73" s="4">
        <f>IF(K73&lt;&gt;"Yes",0,IF(Sales_Tax_Settings!$B$6="Yes",E73/(1+Sales_Tax_Settings!$B$10),E73))</f>
        <v>0</v>
      </c>
      <c r="Q73" s="4">
        <f>IF(K73&lt;&gt;"Yes",0,P73*Sales_Tax_Settings!$B$8)</f>
        <v>0</v>
      </c>
      <c r="R73" s="4">
        <f>IF(K73&lt;&gt;"Yes",0,P73*Sales_Tax_Settings!$B$9)</f>
        <v>0</v>
      </c>
      <c r="S73" s="4">
        <f t="shared" si="13"/>
        <v>0</v>
      </c>
    </row>
    <row r="74" spans="1:19" x14ac:dyDescent="0.3">
      <c r="A74" t="str">
        <f>IF(Expense_Input!A74="","",Expense_Input!A74)</f>
        <v/>
      </c>
      <c r="B74" t="str">
        <f>IF(Expense_Input!B74="","",Expense_Input!B74)</f>
        <v/>
      </c>
      <c r="C74" t="str">
        <f t="shared" si="7"/>
        <v/>
      </c>
      <c r="D74" t="str">
        <f>IF(Expense_Input!C74="","",Expense_Input!C74)</f>
        <v/>
      </c>
      <c r="E74" s="4" t="str">
        <f>IF(Expense_Input!D74="","",Expense_Input!D74)</f>
        <v/>
      </c>
      <c r="F74" t="str">
        <f>IF(Expense_Input!E74="","",Expense_Input!E74)</f>
        <v/>
      </c>
      <c r="G74" t="str">
        <f>IF(Expense_Input!H74="","",Expense_Input!H74)</f>
        <v/>
      </c>
      <c r="H74" t="str">
        <f>IF(Expense_Input!I74="","Auto",Expense_Input!I74)</f>
        <v>Auto</v>
      </c>
      <c r="I74" t="str">
        <f>IF(F74="","",IFERROR(VLOOKUP(F74,Sales_Tax_Settings!$A$15:$B$27,2,FALSE),"Tax Unknown"))</f>
        <v/>
      </c>
      <c r="J74" t="str">
        <f t="shared" si="8"/>
        <v/>
      </c>
      <c r="K74" t="str">
        <f>IF(AND(Sales_Tax_Settings!$B$5="Yes",G74="Personal Expense",J74="Taxable"),"Yes","No")</f>
        <v>No</v>
      </c>
      <c r="L74" s="4">
        <f t="shared" si="9"/>
        <v>0</v>
      </c>
      <c r="M74" s="4">
        <f t="shared" si="10"/>
        <v>0</v>
      </c>
      <c r="N74" s="4">
        <f t="shared" si="11"/>
        <v>0</v>
      </c>
      <c r="O74" s="4">
        <f t="shared" si="12"/>
        <v>0</v>
      </c>
      <c r="P74" s="4">
        <f>IF(K74&lt;&gt;"Yes",0,IF(Sales_Tax_Settings!$B$6="Yes",E74/(1+Sales_Tax_Settings!$B$10),E74))</f>
        <v>0</v>
      </c>
      <c r="Q74" s="4">
        <f>IF(K74&lt;&gt;"Yes",0,P74*Sales_Tax_Settings!$B$8)</f>
        <v>0</v>
      </c>
      <c r="R74" s="4">
        <f>IF(K74&lt;&gt;"Yes",0,P74*Sales_Tax_Settings!$B$9)</f>
        <v>0</v>
      </c>
      <c r="S74" s="4">
        <f t="shared" si="13"/>
        <v>0</v>
      </c>
    </row>
    <row r="75" spans="1:19" x14ac:dyDescent="0.3">
      <c r="A75" t="str">
        <f>IF(Expense_Input!A75="","",Expense_Input!A75)</f>
        <v/>
      </c>
      <c r="B75" t="str">
        <f>IF(Expense_Input!B75="","",Expense_Input!B75)</f>
        <v/>
      </c>
      <c r="C75" t="str">
        <f t="shared" si="7"/>
        <v/>
      </c>
      <c r="D75" t="str">
        <f>IF(Expense_Input!C75="","",Expense_Input!C75)</f>
        <v/>
      </c>
      <c r="E75" s="4" t="str">
        <f>IF(Expense_Input!D75="","",Expense_Input!D75)</f>
        <v/>
      </c>
      <c r="F75" t="str">
        <f>IF(Expense_Input!E75="","",Expense_Input!E75)</f>
        <v/>
      </c>
      <c r="G75" t="str">
        <f>IF(Expense_Input!H75="","",Expense_Input!H75)</f>
        <v/>
      </c>
      <c r="H75" t="str">
        <f>IF(Expense_Input!I75="","Auto",Expense_Input!I75)</f>
        <v>Auto</v>
      </c>
      <c r="I75" t="str">
        <f>IF(F75="","",IFERROR(VLOOKUP(F75,Sales_Tax_Settings!$A$15:$B$27,2,FALSE),"Tax Unknown"))</f>
        <v/>
      </c>
      <c r="J75" t="str">
        <f t="shared" si="8"/>
        <v/>
      </c>
      <c r="K75" t="str">
        <f>IF(AND(Sales_Tax_Settings!$B$5="Yes",G75="Personal Expense",J75="Taxable"),"Yes","No")</f>
        <v>No</v>
      </c>
      <c r="L75" s="4">
        <f t="shared" si="9"/>
        <v>0</v>
      </c>
      <c r="M75" s="4">
        <f t="shared" si="10"/>
        <v>0</v>
      </c>
      <c r="N75" s="4">
        <f t="shared" si="11"/>
        <v>0</v>
      </c>
      <c r="O75" s="4">
        <f t="shared" si="12"/>
        <v>0</v>
      </c>
      <c r="P75" s="4">
        <f>IF(K75&lt;&gt;"Yes",0,IF(Sales_Tax_Settings!$B$6="Yes",E75/(1+Sales_Tax_Settings!$B$10),E75))</f>
        <v>0</v>
      </c>
      <c r="Q75" s="4">
        <f>IF(K75&lt;&gt;"Yes",0,P75*Sales_Tax_Settings!$B$8)</f>
        <v>0</v>
      </c>
      <c r="R75" s="4">
        <f>IF(K75&lt;&gt;"Yes",0,P75*Sales_Tax_Settings!$B$9)</f>
        <v>0</v>
      </c>
      <c r="S75" s="4">
        <f t="shared" si="13"/>
        <v>0</v>
      </c>
    </row>
    <row r="76" spans="1:19" x14ac:dyDescent="0.3">
      <c r="A76" t="str">
        <f>IF(Expense_Input!A76="","",Expense_Input!A76)</f>
        <v/>
      </c>
      <c r="B76" t="str">
        <f>IF(Expense_Input!B76="","",Expense_Input!B76)</f>
        <v/>
      </c>
      <c r="C76" t="str">
        <f t="shared" si="7"/>
        <v/>
      </c>
      <c r="D76" t="str">
        <f>IF(Expense_Input!C76="","",Expense_Input!C76)</f>
        <v/>
      </c>
      <c r="E76" s="4" t="str">
        <f>IF(Expense_Input!D76="","",Expense_Input!D76)</f>
        <v/>
      </c>
      <c r="F76" t="str">
        <f>IF(Expense_Input!E76="","",Expense_Input!E76)</f>
        <v/>
      </c>
      <c r="G76" t="str">
        <f>IF(Expense_Input!H76="","",Expense_Input!H76)</f>
        <v/>
      </c>
      <c r="H76" t="str">
        <f>IF(Expense_Input!I76="","Auto",Expense_Input!I76)</f>
        <v>Auto</v>
      </c>
      <c r="I76" t="str">
        <f>IF(F76="","",IFERROR(VLOOKUP(F76,Sales_Tax_Settings!$A$15:$B$27,2,FALSE),"Tax Unknown"))</f>
        <v/>
      </c>
      <c r="J76" t="str">
        <f t="shared" si="8"/>
        <v/>
      </c>
      <c r="K76" t="str">
        <f>IF(AND(Sales_Tax_Settings!$B$5="Yes",G76="Personal Expense",J76="Taxable"),"Yes","No")</f>
        <v>No</v>
      </c>
      <c r="L76" s="4">
        <f t="shared" si="9"/>
        <v>0</v>
      </c>
      <c r="M76" s="4">
        <f t="shared" si="10"/>
        <v>0</v>
      </c>
      <c r="N76" s="4">
        <f t="shared" si="11"/>
        <v>0</v>
      </c>
      <c r="O76" s="4">
        <f t="shared" si="12"/>
        <v>0</v>
      </c>
      <c r="P76" s="4">
        <f>IF(K76&lt;&gt;"Yes",0,IF(Sales_Tax_Settings!$B$6="Yes",E76/(1+Sales_Tax_Settings!$B$10),E76))</f>
        <v>0</v>
      </c>
      <c r="Q76" s="4">
        <f>IF(K76&lt;&gt;"Yes",0,P76*Sales_Tax_Settings!$B$8)</f>
        <v>0</v>
      </c>
      <c r="R76" s="4">
        <f>IF(K76&lt;&gt;"Yes",0,P76*Sales_Tax_Settings!$B$9)</f>
        <v>0</v>
      </c>
      <c r="S76" s="4">
        <f t="shared" si="13"/>
        <v>0</v>
      </c>
    </row>
    <row r="77" spans="1:19" x14ac:dyDescent="0.3">
      <c r="A77" t="str">
        <f>IF(Expense_Input!A77="","",Expense_Input!A77)</f>
        <v/>
      </c>
      <c r="B77" t="str">
        <f>IF(Expense_Input!B77="","",Expense_Input!B77)</f>
        <v/>
      </c>
      <c r="C77" t="str">
        <f t="shared" si="7"/>
        <v/>
      </c>
      <c r="D77" t="str">
        <f>IF(Expense_Input!C77="","",Expense_Input!C77)</f>
        <v/>
      </c>
      <c r="E77" s="4" t="str">
        <f>IF(Expense_Input!D77="","",Expense_Input!D77)</f>
        <v/>
      </c>
      <c r="F77" t="str">
        <f>IF(Expense_Input!E77="","",Expense_Input!E77)</f>
        <v/>
      </c>
      <c r="G77" t="str">
        <f>IF(Expense_Input!H77="","",Expense_Input!H77)</f>
        <v/>
      </c>
      <c r="H77" t="str">
        <f>IF(Expense_Input!I77="","Auto",Expense_Input!I77)</f>
        <v>Auto</v>
      </c>
      <c r="I77" t="str">
        <f>IF(F77="","",IFERROR(VLOOKUP(F77,Sales_Tax_Settings!$A$15:$B$27,2,FALSE),"Tax Unknown"))</f>
        <v/>
      </c>
      <c r="J77" t="str">
        <f t="shared" si="8"/>
        <v/>
      </c>
      <c r="K77" t="str">
        <f>IF(AND(Sales_Tax_Settings!$B$5="Yes",G77="Personal Expense",J77="Taxable"),"Yes","No")</f>
        <v>No</v>
      </c>
      <c r="L77" s="4">
        <f t="shared" si="9"/>
        <v>0</v>
      </c>
      <c r="M77" s="4">
        <f t="shared" si="10"/>
        <v>0</v>
      </c>
      <c r="N77" s="4">
        <f t="shared" si="11"/>
        <v>0</v>
      </c>
      <c r="O77" s="4">
        <f t="shared" si="12"/>
        <v>0</v>
      </c>
      <c r="P77" s="4">
        <f>IF(K77&lt;&gt;"Yes",0,IF(Sales_Tax_Settings!$B$6="Yes",E77/(1+Sales_Tax_Settings!$B$10),E77))</f>
        <v>0</v>
      </c>
      <c r="Q77" s="4">
        <f>IF(K77&lt;&gt;"Yes",0,P77*Sales_Tax_Settings!$B$8)</f>
        <v>0</v>
      </c>
      <c r="R77" s="4">
        <f>IF(K77&lt;&gt;"Yes",0,P77*Sales_Tax_Settings!$B$9)</f>
        <v>0</v>
      </c>
      <c r="S77" s="4">
        <f t="shared" si="13"/>
        <v>0</v>
      </c>
    </row>
    <row r="78" spans="1:19" x14ac:dyDescent="0.3">
      <c r="A78" t="str">
        <f>IF(Expense_Input!A78="","",Expense_Input!A78)</f>
        <v/>
      </c>
      <c r="B78" t="str">
        <f>IF(Expense_Input!B78="","",Expense_Input!B78)</f>
        <v/>
      </c>
      <c r="C78" t="str">
        <f t="shared" si="7"/>
        <v/>
      </c>
      <c r="D78" t="str">
        <f>IF(Expense_Input!C78="","",Expense_Input!C78)</f>
        <v/>
      </c>
      <c r="E78" s="4" t="str">
        <f>IF(Expense_Input!D78="","",Expense_Input!D78)</f>
        <v/>
      </c>
      <c r="F78" t="str">
        <f>IF(Expense_Input!E78="","",Expense_Input!E78)</f>
        <v/>
      </c>
      <c r="G78" t="str">
        <f>IF(Expense_Input!H78="","",Expense_Input!H78)</f>
        <v/>
      </c>
      <c r="H78" t="str">
        <f>IF(Expense_Input!I78="","Auto",Expense_Input!I78)</f>
        <v>Auto</v>
      </c>
      <c r="I78" t="str">
        <f>IF(F78="","",IFERROR(VLOOKUP(F78,Sales_Tax_Settings!$A$15:$B$27,2,FALSE),"Tax Unknown"))</f>
        <v/>
      </c>
      <c r="J78" t="str">
        <f t="shared" si="8"/>
        <v/>
      </c>
      <c r="K78" t="str">
        <f>IF(AND(Sales_Tax_Settings!$B$5="Yes",G78="Personal Expense",J78="Taxable"),"Yes","No")</f>
        <v>No</v>
      </c>
      <c r="L78" s="4">
        <f t="shared" si="9"/>
        <v>0</v>
      </c>
      <c r="M78" s="4">
        <f t="shared" si="10"/>
        <v>0</v>
      </c>
      <c r="N78" s="4">
        <f t="shared" si="11"/>
        <v>0</v>
      </c>
      <c r="O78" s="4">
        <f t="shared" si="12"/>
        <v>0</v>
      </c>
      <c r="P78" s="4">
        <f>IF(K78&lt;&gt;"Yes",0,IF(Sales_Tax_Settings!$B$6="Yes",E78/(1+Sales_Tax_Settings!$B$10),E78))</f>
        <v>0</v>
      </c>
      <c r="Q78" s="4">
        <f>IF(K78&lt;&gt;"Yes",0,P78*Sales_Tax_Settings!$B$8)</f>
        <v>0</v>
      </c>
      <c r="R78" s="4">
        <f>IF(K78&lt;&gt;"Yes",0,P78*Sales_Tax_Settings!$B$9)</f>
        <v>0</v>
      </c>
      <c r="S78" s="4">
        <f t="shared" si="13"/>
        <v>0</v>
      </c>
    </row>
    <row r="79" spans="1:19" x14ac:dyDescent="0.3">
      <c r="A79" t="str">
        <f>IF(Expense_Input!A79="","",Expense_Input!A79)</f>
        <v/>
      </c>
      <c r="B79" t="str">
        <f>IF(Expense_Input!B79="","",Expense_Input!B79)</f>
        <v/>
      </c>
      <c r="C79" t="str">
        <f t="shared" si="7"/>
        <v/>
      </c>
      <c r="D79" t="str">
        <f>IF(Expense_Input!C79="","",Expense_Input!C79)</f>
        <v/>
      </c>
      <c r="E79" s="4" t="str">
        <f>IF(Expense_Input!D79="","",Expense_Input!D79)</f>
        <v/>
      </c>
      <c r="F79" t="str">
        <f>IF(Expense_Input!E79="","",Expense_Input!E79)</f>
        <v/>
      </c>
      <c r="G79" t="str">
        <f>IF(Expense_Input!H79="","",Expense_Input!H79)</f>
        <v/>
      </c>
      <c r="H79" t="str">
        <f>IF(Expense_Input!I79="","Auto",Expense_Input!I79)</f>
        <v>Auto</v>
      </c>
      <c r="I79" t="str">
        <f>IF(F79="","",IFERROR(VLOOKUP(F79,Sales_Tax_Settings!$A$15:$B$27,2,FALSE),"Tax Unknown"))</f>
        <v/>
      </c>
      <c r="J79" t="str">
        <f t="shared" si="8"/>
        <v/>
      </c>
      <c r="K79" t="str">
        <f>IF(AND(Sales_Tax_Settings!$B$5="Yes",G79="Personal Expense",J79="Taxable"),"Yes","No")</f>
        <v>No</v>
      </c>
      <c r="L79" s="4">
        <f t="shared" si="9"/>
        <v>0</v>
      </c>
      <c r="M79" s="4">
        <f t="shared" si="10"/>
        <v>0</v>
      </c>
      <c r="N79" s="4">
        <f t="shared" si="11"/>
        <v>0</v>
      </c>
      <c r="O79" s="4">
        <f t="shared" si="12"/>
        <v>0</v>
      </c>
      <c r="P79" s="4">
        <f>IF(K79&lt;&gt;"Yes",0,IF(Sales_Tax_Settings!$B$6="Yes",E79/(1+Sales_Tax_Settings!$B$10),E79))</f>
        <v>0</v>
      </c>
      <c r="Q79" s="4">
        <f>IF(K79&lt;&gt;"Yes",0,P79*Sales_Tax_Settings!$B$8)</f>
        <v>0</v>
      </c>
      <c r="R79" s="4">
        <f>IF(K79&lt;&gt;"Yes",0,P79*Sales_Tax_Settings!$B$9)</f>
        <v>0</v>
      </c>
      <c r="S79" s="4">
        <f t="shared" si="13"/>
        <v>0</v>
      </c>
    </row>
    <row r="80" spans="1:19" x14ac:dyDescent="0.3">
      <c r="A80" t="str">
        <f>IF(Expense_Input!A80="","",Expense_Input!A80)</f>
        <v/>
      </c>
      <c r="B80" t="str">
        <f>IF(Expense_Input!B80="","",Expense_Input!B80)</f>
        <v/>
      </c>
      <c r="C80" t="str">
        <f t="shared" si="7"/>
        <v/>
      </c>
      <c r="D80" t="str">
        <f>IF(Expense_Input!C80="","",Expense_Input!C80)</f>
        <v/>
      </c>
      <c r="E80" s="4" t="str">
        <f>IF(Expense_Input!D80="","",Expense_Input!D80)</f>
        <v/>
      </c>
      <c r="F80" t="str">
        <f>IF(Expense_Input!E80="","",Expense_Input!E80)</f>
        <v/>
      </c>
      <c r="G80" t="str">
        <f>IF(Expense_Input!H80="","",Expense_Input!H80)</f>
        <v/>
      </c>
      <c r="H80" t="str">
        <f>IF(Expense_Input!I80="","Auto",Expense_Input!I80)</f>
        <v>Auto</v>
      </c>
      <c r="I80" t="str">
        <f>IF(F80="","",IFERROR(VLOOKUP(F80,Sales_Tax_Settings!$A$15:$B$27,2,FALSE),"Tax Unknown"))</f>
        <v/>
      </c>
      <c r="J80" t="str">
        <f t="shared" si="8"/>
        <v/>
      </c>
      <c r="K80" t="str">
        <f>IF(AND(Sales_Tax_Settings!$B$5="Yes",G80="Personal Expense",J80="Taxable"),"Yes","No")</f>
        <v>No</v>
      </c>
      <c r="L80" s="4">
        <f t="shared" si="9"/>
        <v>0</v>
      </c>
      <c r="M80" s="4">
        <f t="shared" si="10"/>
        <v>0</v>
      </c>
      <c r="N80" s="4">
        <f t="shared" si="11"/>
        <v>0</v>
      </c>
      <c r="O80" s="4">
        <f t="shared" si="12"/>
        <v>0</v>
      </c>
      <c r="P80" s="4">
        <f>IF(K80&lt;&gt;"Yes",0,IF(Sales_Tax_Settings!$B$6="Yes",E80/(1+Sales_Tax_Settings!$B$10),E80))</f>
        <v>0</v>
      </c>
      <c r="Q80" s="4">
        <f>IF(K80&lt;&gt;"Yes",0,P80*Sales_Tax_Settings!$B$8)</f>
        <v>0</v>
      </c>
      <c r="R80" s="4">
        <f>IF(K80&lt;&gt;"Yes",0,P80*Sales_Tax_Settings!$B$9)</f>
        <v>0</v>
      </c>
      <c r="S80" s="4">
        <f t="shared" si="13"/>
        <v>0</v>
      </c>
    </row>
    <row r="81" spans="1:19" x14ac:dyDescent="0.3">
      <c r="A81" t="str">
        <f>IF(Expense_Input!A81="","",Expense_Input!A81)</f>
        <v/>
      </c>
      <c r="B81" t="str">
        <f>IF(Expense_Input!B81="","",Expense_Input!B81)</f>
        <v/>
      </c>
      <c r="C81" t="str">
        <f t="shared" si="7"/>
        <v/>
      </c>
      <c r="D81" t="str">
        <f>IF(Expense_Input!C81="","",Expense_Input!C81)</f>
        <v/>
      </c>
      <c r="E81" s="4" t="str">
        <f>IF(Expense_Input!D81="","",Expense_Input!D81)</f>
        <v/>
      </c>
      <c r="F81" t="str">
        <f>IF(Expense_Input!E81="","",Expense_Input!E81)</f>
        <v/>
      </c>
      <c r="G81" t="str">
        <f>IF(Expense_Input!H81="","",Expense_Input!H81)</f>
        <v/>
      </c>
      <c r="H81" t="str">
        <f>IF(Expense_Input!I81="","Auto",Expense_Input!I81)</f>
        <v>Auto</v>
      </c>
      <c r="I81" t="str">
        <f>IF(F81="","",IFERROR(VLOOKUP(F81,Sales_Tax_Settings!$A$15:$B$27,2,FALSE),"Tax Unknown"))</f>
        <v/>
      </c>
      <c r="J81" t="str">
        <f t="shared" si="8"/>
        <v/>
      </c>
      <c r="K81" t="str">
        <f>IF(AND(Sales_Tax_Settings!$B$5="Yes",G81="Personal Expense",J81="Taxable"),"Yes","No")</f>
        <v>No</v>
      </c>
      <c r="L81" s="4">
        <f t="shared" si="9"/>
        <v>0</v>
      </c>
      <c r="M81" s="4">
        <f t="shared" si="10"/>
        <v>0</v>
      </c>
      <c r="N81" s="4">
        <f t="shared" si="11"/>
        <v>0</v>
      </c>
      <c r="O81" s="4">
        <f t="shared" si="12"/>
        <v>0</v>
      </c>
      <c r="P81" s="4">
        <f>IF(K81&lt;&gt;"Yes",0,IF(Sales_Tax_Settings!$B$6="Yes",E81/(1+Sales_Tax_Settings!$B$10),E81))</f>
        <v>0</v>
      </c>
      <c r="Q81" s="4">
        <f>IF(K81&lt;&gt;"Yes",0,P81*Sales_Tax_Settings!$B$8)</f>
        <v>0</v>
      </c>
      <c r="R81" s="4">
        <f>IF(K81&lt;&gt;"Yes",0,P81*Sales_Tax_Settings!$B$9)</f>
        <v>0</v>
      </c>
      <c r="S81" s="4">
        <f t="shared" si="13"/>
        <v>0</v>
      </c>
    </row>
    <row r="82" spans="1:19" x14ac:dyDescent="0.3">
      <c r="A82" t="str">
        <f>IF(Expense_Input!A82="","",Expense_Input!A82)</f>
        <v/>
      </c>
      <c r="B82" t="str">
        <f>IF(Expense_Input!B82="","",Expense_Input!B82)</f>
        <v/>
      </c>
      <c r="C82" t="str">
        <f t="shared" si="7"/>
        <v/>
      </c>
      <c r="D82" t="str">
        <f>IF(Expense_Input!C82="","",Expense_Input!C82)</f>
        <v/>
      </c>
      <c r="E82" s="4" t="str">
        <f>IF(Expense_Input!D82="","",Expense_Input!D82)</f>
        <v/>
      </c>
      <c r="F82" t="str">
        <f>IF(Expense_Input!E82="","",Expense_Input!E82)</f>
        <v/>
      </c>
      <c r="G82" t="str">
        <f>IF(Expense_Input!H82="","",Expense_Input!H82)</f>
        <v/>
      </c>
      <c r="H82" t="str">
        <f>IF(Expense_Input!I82="","Auto",Expense_Input!I82)</f>
        <v>Auto</v>
      </c>
      <c r="I82" t="str">
        <f>IF(F82="","",IFERROR(VLOOKUP(F82,Sales_Tax_Settings!$A$15:$B$27,2,FALSE),"Tax Unknown"))</f>
        <v/>
      </c>
      <c r="J82" t="str">
        <f t="shared" si="8"/>
        <v/>
      </c>
      <c r="K82" t="str">
        <f>IF(AND(Sales_Tax_Settings!$B$5="Yes",G82="Personal Expense",J82="Taxable"),"Yes","No")</f>
        <v>No</v>
      </c>
      <c r="L82" s="4">
        <f t="shared" si="9"/>
        <v>0</v>
      </c>
      <c r="M82" s="4">
        <f t="shared" si="10"/>
        <v>0</v>
      </c>
      <c r="N82" s="4">
        <f t="shared" si="11"/>
        <v>0</v>
      </c>
      <c r="O82" s="4">
        <f t="shared" si="12"/>
        <v>0</v>
      </c>
      <c r="P82" s="4">
        <f>IF(K82&lt;&gt;"Yes",0,IF(Sales_Tax_Settings!$B$6="Yes",E82/(1+Sales_Tax_Settings!$B$10),E82))</f>
        <v>0</v>
      </c>
      <c r="Q82" s="4">
        <f>IF(K82&lt;&gt;"Yes",0,P82*Sales_Tax_Settings!$B$8)</f>
        <v>0</v>
      </c>
      <c r="R82" s="4">
        <f>IF(K82&lt;&gt;"Yes",0,P82*Sales_Tax_Settings!$B$9)</f>
        <v>0</v>
      </c>
      <c r="S82" s="4">
        <f t="shared" si="13"/>
        <v>0</v>
      </c>
    </row>
    <row r="83" spans="1:19" x14ac:dyDescent="0.3">
      <c r="A83" t="str">
        <f>IF(Expense_Input!A83="","",Expense_Input!A83)</f>
        <v/>
      </c>
      <c r="B83" t="str">
        <f>IF(Expense_Input!B83="","",Expense_Input!B83)</f>
        <v/>
      </c>
      <c r="C83" t="str">
        <f t="shared" si="7"/>
        <v/>
      </c>
      <c r="D83" t="str">
        <f>IF(Expense_Input!C83="","",Expense_Input!C83)</f>
        <v/>
      </c>
      <c r="E83" s="4" t="str">
        <f>IF(Expense_Input!D83="","",Expense_Input!D83)</f>
        <v/>
      </c>
      <c r="F83" t="str">
        <f>IF(Expense_Input!E83="","",Expense_Input!E83)</f>
        <v/>
      </c>
      <c r="G83" t="str">
        <f>IF(Expense_Input!H83="","",Expense_Input!H83)</f>
        <v/>
      </c>
      <c r="H83" t="str">
        <f>IF(Expense_Input!I83="","Auto",Expense_Input!I83)</f>
        <v>Auto</v>
      </c>
      <c r="I83" t="str">
        <f>IF(F83="","",IFERROR(VLOOKUP(F83,Sales_Tax_Settings!$A$15:$B$27,2,FALSE),"Tax Unknown"))</f>
        <v/>
      </c>
      <c r="J83" t="str">
        <f t="shared" si="8"/>
        <v/>
      </c>
      <c r="K83" t="str">
        <f>IF(AND(Sales_Tax_Settings!$B$5="Yes",G83="Personal Expense",J83="Taxable"),"Yes","No")</f>
        <v>No</v>
      </c>
      <c r="L83" s="4">
        <f t="shared" si="9"/>
        <v>0</v>
      </c>
      <c r="M83" s="4">
        <f t="shared" si="10"/>
        <v>0</v>
      </c>
      <c r="N83" s="4">
        <f t="shared" si="11"/>
        <v>0</v>
      </c>
      <c r="O83" s="4">
        <f t="shared" si="12"/>
        <v>0</v>
      </c>
      <c r="P83" s="4">
        <f>IF(K83&lt;&gt;"Yes",0,IF(Sales_Tax_Settings!$B$6="Yes",E83/(1+Sales_Tax_Settings!$B$10),E83))</f>
        <v>0</v>
      </c>
      <c r="Q83" s="4">
        <f>IF(K83&lt;&gt;"Yes",0,P83*Sales_Tax_Settings!$B$8)</f>
        <v>0</v>
      </c>
      <c r="R83" s="4">
        <f>IF(K83&lt;&gt;"Yes",0,P83*Sales_Tax_Settings!$B$9)</f>
        <v>0</v>
      </c>
      <c r="S83" s="4">
        <f t="shared" si="13"/>
        <v>0</v>
      </c>
    </row>
    <row r="84" spans="1:19" x14ac:dyDescent="0.3">
      <c r="A84" t="str">
        <f>IF(Expense_Input!A84="","",Expense_Input!A84)</f>
        <v/>
      </c>
      <c r="B84" t="str">
        <f>IF(Expense_Input!B84="","",Expense_Input!B84)</f>
        <v/>
      </c>
      <c r="C84" t="str">
        <f t="shared" si="7"/>
        <v/>
      </c>
      <c r="D84" t="str">
        <f>IF(Expense_Input!C84="","",Expense_Input!C84)</f>
        <v/>
      </c>
      <c r="E84" s="4" t="str">
        <f>IF(Expense_Input!D84="","",Expense_Input!D84)</f>
        <v/>
      </c>
      <c r="F84" t="str">
        <f>IF(Expense_Input!E84="","",Expense_Input!E84)</f>
        <v/>
      </c>
      <c r="G84" t="str">
        <f>IF(Expense_Input!H84="","",Expense_Input!H84)</f>
        <v/>
      </c>
      <c r="H84" t="str">
        <f>IF(Expense_Input!I84="","Auto",Expense_Input!I84)</f>
        <v>Auto</v>
      </c>
      <c r="I84" t="str">
        <f>IF(F84="","",IFERROR(VLOOKUP(F84,Sales_Tax_Settings!$A$15:$B$27,2,FALSE),"Tax Unknown"))</f>
        <v/>
      </c>
      <c r="J84" t="str">
        <f t="shared" si="8"/>
        <v/>
      </c>
      <c r="K84" t="str">
        <f>IF(AND(Sales_Tax_Settings!$B$5="Yes",G84="Personal Expense",J84="Taxable"),"Yes","No")</f>
        <v>No</v>
      </c>
      <c r="L84" s="4">
        <f t="shared" si="9"/>
        <v>0</v>
      </c>
      <c r="M84" s="4">
        <f t="shared" si="10"/>
        <v>0</v>
      </c>
      <c r="N84" s="4">
        <f t="shared" si="11"/>
        <v>0</v>
      </c>
      <c r="O84" s="4">
        <f t="shared" si="12"/>
        <v>0</v>
      </c>
      <c r="P84" s="4">
        <f>IF(K84&lt;&gt;"Yes",0,IF(Sales_Tax_Settings!$B$6="Yes",E84/(1+Sales_Tax_Settings!$B$10),E84))</f>
        <v>0</v>
      </c>
      <c r="Q84" s="4">
        <f>IF(K84&lt;&gt;"Yes",0,P84*Sales_Tax_Settings!$B$8)</f>
        <v>0</v>
      </c>
      <c r="R84" s="4">
        <f>IF(K84&lt;&gt;"Yes",0,P84*Sales_Tax_Settings!$B$9)</f>
        <v>0</v>
      </c>
      <c r="S84" s="4">
        <f t="shared" si="13"/>
        <v>0</v>
      </c>
    </row>
    <row r="85" spans="1:19" x14ac:dyDescent="0.3">
      <c r="A85" t="str">
        <f>IF(Expense_Input!A85="","",Expense_Input!A85)</f>
        <v/>
      </c>
      <c r="B85" t="str">
        <f>IF(Expense_Input!B85="","",Expense_Input!B85)</f>
        <v/>
      </c>
      <c r="C85" t="str">
        <f t="shared" si="7"/>
        <v/>
      </c>
      <c r="D85" t="str">
        <f>IF(Expense_Input!C85="","",Expense_Input!C85)</f>
        <v/>
      </c>
      <c r="E85" s="4" t="str">
        <f>IF(Expense_Input!D85="","",Expense_Input!D85)</f>
        <v/>
      </c>
      <c r="F85" t="str">
        <f>IF(Expense_Input!E85="","",Expense_Input!E85)</f>
        <v/>
      </c>
      <c r="G85" t="str">
        <f>IF(Expense_Input!H85="","",Expense_Input!H85)</f>
        <v/>
      </c>
      <c r="H85" t="str">
        <f>IF(Expense_Input!I85="","Auto",Expense_Input!I85)</f>
        <v>Auto</v>
      </c>
      <c r="I85" t="str">
        <f>IF(F85="","",IFERROR(VLOOKUP(F85,Sales_Tax_Settings!$A$15:$B$27,2,FALSE),"Tax Unknown"))</f>
        <v/>
      </c>
      <c r="J85" t="str">
        <f t="shared" si="8"/>
        <v/>
      </c>
      <c r="K85" t="str">
        <f>IF(AND(Sales_Tax_Settings!$B$5="Yes",G85="Personal Expense",J85="Taxable"),"Yes","No")</f>
        <v>No</v>
      </c>
      <c r="L85" s="4">
        <f t="shared" si="9"/>
        <v>0</v>
      </c>
      <c r="M85" s="4">
        <f t="shared" si="10"/>
        <v>0</v>
      </c>
      <c r="N85" s="4">
        <f t="shared" si="11"/>
        <v>0</v>
      </c>
      <c r="O85" s="4">
        <f t="shared" si="12"/>
        <v>0</v>
      </c>
      <c r="P85" s="4">
        <f>IF(K85&lt;&gt;"Yes",0,IF(Sales_Tax_Settings!$B$6="Yes",E85/(1+Sales_Tax_Settings!$B$10),E85))</f>
        <v>0</v>
      </c>
      <c r="Q85" s="4">
        <f>IF(K85&lt;&gt;"Yes",0,P85*Sales_Tax_Settings!$B$8)</f>
        <v>0</v>
      </c>
      <c r="R85" s="4">
        <f>IF(K85&lt;&gt;"Yes",0,P85*Sales_Tax_Settings!$B$9)</f>
        <v>0</v>
      </c>
      <c r="S85" s="4">
        <f t="shared" si="13"/>
        <v>0</v>
      </c>
    </row>
    <row r="86" spans="1:19" x14ac:dyDescent="0.3">
      <c r="A86" t="str">
        <f>IF(Expense_Input!A86="","",Expense_Input!A86)</f>
        <v/>
      </c>
      <c r="B86" t="str">
        <f>IF(Expense_Input!B86="","",Expense_Input!B86)</f>
        <v/>
      </c>
      <c r="C86" t="str">
        <f t="shared" si="7"/>
        <v/>
      </c>
      <c r="D86" t="str">
        <f>IF(Expense_Input!C86="","",Expense_Input!C86)</f>
        <v/>
      </c>
      <c r="E86" s="4" t="str">
        <f>IF(Expense_Input!D86="","",Expense_Input!D86)</f>
        <v/>
      </c>
      <c r="F86" t="str">
        <f>IF(Expense_Input!E86="","",Expense_Input!E86)</f>
        <v/>
      </c>
      <c r="G86" t="str">
        <f>IF(Expense_Input!H86="","",Expense_Input!H86)</f>
        <v/>
      </c>
      <c r="H86" t="str">
        <f>IF(Expense_Input!I86="","Auto",Expense_Input!I86)</f>
        <v>Auto</v>
      </c>
      <c r="I86" t="str">
        <f>IF(F86="","",IFERROR(VLOOKUP(F86,Sales_Tax_Settings!$A$15:$B$27,2,FALSE),"Tax Unknown"))</f>
        <v/>
      </c>
      <c r="J86" t="str">
        <f t="shared" si="8"/>
        <v/>
      </c>
      <c r="K86" t="str">
        <f>IF(AND(Sales_Tax_Settings!$B$5="Yes",G86="Personal Expense",J86="Taxable"),"Yes","No")</f>
        <v>No</v>
      </c>
      <c r="L86" s="4">
        <f t="shared" si="9"/>
        <v>0</v>
      </c>
      <c r="M86" s="4">
        <f t="shared" si="10"/>
        <v>0</v>
      </c>
      <c r="N86" s="4">
        <f t="shared" si="11"/>
        <v>0</v>
      </c>
      <c r="O86" s="4">
        <f t="shared" si="12"/>
        <v>0</v>
      </c>
      <c r="P86" s="4">
        <f>IF(K86&lt;&gt;"Yes",0,IF(Sales_Tax_Settings!$B$6="Yes",E86/(1+Sales_Tax_Settings!$B$10),E86))</f>
        <v>0</v>
      </c>
      <c r="Q86" s="4">
        <f>IF(K86&lt;&gt;"Yes",0,P86*Sales_Tax_Settings!$B$8)</f>
        <v>0</v>
      </c>
      <c r="R86" s="4">
        <f>IF(K86&lt;&gt;"Yes",0,P86*Sales_Tax_Settings!$B$9)</f>
        <v>0</v>
      </c>
      <c r="S86" s="4">
        <f t="shared" si="13"/>
        <v>0</v>
      </c>
    </row>
    <row r="87" spans="1:19" x14ac:dyDescent="0.3">
      <c r="A87" t="str">
        <f>IF(Expense_Input!A87="","",Expense_Input!A87)</f>
        <v/>
      </c>
      <c r="B87" t="str">
        <f>IF(Expense_Input!B87="","",Expense_Input!B87)</f>
        <v/>
      </c>
      <c r="C87" t="str">
        <f t="shared" si="7"/>
        <v/>
      </c>
      <c r="D87" t="str">
        <f>IF(Expense_Input!C87="","",Expense_Input!C87)</f>
        <v/>
      </c>
      <c r="E87" s="4" t="str">
        <f>IF(Expense_Input!D87="","",Expense_Input!D87)</f>
        <v/>
      </c>
      <c r="F87" t="str">
        <f>IF(Expense_Input!E87="","",Expense_Input!E87)</f>
        <v/>
      </c>
      <c r="G87" t="str">
        <f>IF(Expense_Input!H87="","",Expense_Input!H87)</f>
        <v/>
      </c>
      <c r="H87" t="str">
        <f>IF(Expense_Input!I87="","Auto",Expense_Input!I87)</f>
        <v>Auto</v>
      </c>
      <c r="I87" t="str">
        <f>IF(F87="","",IFERROR(VLOOKUP(F87,Sales_Tax_Settings!$A$15:$B$27,2,FALSE),"Tax Unknown"))</f>
        <v/>
      </c>
      <c r="J87" t="str">
        <f t="shared" si="8"/>
        <v/>
      </c>
      <c r="K87" t="str">
        <f>IF(AND(Sales_Tax_Settings!$B$5="Yes",G87="Personal Expense",J87="Taxable"),"Yes","No")</f>
        <v>No</v>
      </c>
      <c r="L87" s="4">
        <f t="shared" si="9"/>
        <v>0</v>
      </c>
      <c r="M87" s="4">
        <f t="shared" si="10"/>
        <v>0</v>
      </c>
      <c r="N87" s="4">
        <f t="shared" si="11"/>
        <v>0</v>
      </c>
      <c r="O87" s="4">
        <f t="shared" si="12"/>
        <v>0</v>
      </c>
      <c r="P87" s="4">
        <f>IF(K87&lt;&gt;"Yes",0,IF(Sales_Tax_Settings!$B$6="Yes",E87/(1+Sales_Tax_Settings!$B$10),E87))</f>
        <v>0</v>
      </c>
      <c r="Q87" s="4">
        <f>IF(K87&lt;&gt;"Yes",0,P87*Sales_Tax_Settings!$B$8)</f>
        <v>0</v>
      </c>
      <c r="R87" s="4">
        <f>IF(K87&lt;&gt;"Yes",0,P87*Sales_Tax_Settings!$B$9)</f>
        <v>0</v>
      </c>
      <c r="S87" s="4">
        <f t="shared" si="13"/>
        <v>0</v>
      </c>
    </row>
    <row r="88" spans="1:19" x14ac:dyDescent="0.3">
      <c r="A88" t="str">
        <f>IF(Expense_Input!A88="","",Expense_Input!A88)</f>
        <v/>
      </c>
      <c r="B88" t="str">
        <f>IF(Expense_Input!B88="","",Expense_Input!B88)</f>
        <v/>
      </c>
      <c r="C88" t="str">
        <f t="shared" si="7"/>
        <v/>
      </c>
      <c r="D88" t="str">
        <f>IF(Expense_Input!C88="","",Expense_Input!C88)</f>
        <v/>
      </c>
      <c r="E88" s="4" t="str">
        <f>IF(Expense_Input!D88="","",Expense_Input!D88)</f>
        <v/>
      </c>
      <c r="F88" t="str">
        <f>IF(Expense_Input!E88="","",Expense_Input!E88)</f>
        <v/>
      </c>
      <c r="G88" t="str">
        <f>IF(Expense_Input!H88="","",Expense_Input!H88)</f>
        <v/>
      </c>
      <c r="H88" t="str">
        <f>IF(Expense_Input!I88="","Auto",Expense_Input!I88)</f>
        <v>Auto</v>
      </c>
      <c r="I88" t="str">
        <f>IF(F88="","",IFERROR(VLOOKUP(F88,Sales_Tax_Settings!$A$15:$B$27,2,FALSE),"Tax Unknown"))</f>
        <v/>
      </c>
      <c r="J88" t="str">
        <f t="shared" si="8"/>
        <v/>
      </c>
      <c r="K88" t="str">
        <f>IF(AND(Sales_Tax_Settings!$B$5="Yes",G88="Personal Expense",J88="Taxable"),"Yes","No")</f>
        <v>No</v>
      </c>
      <c r="L88" s="4">
        <f t="shared" si="9"/>
        <v>0</v>
      </c>
      <c r="M88" s="4">
        <f t="shared" si="10"/>
        <v>0</v>
      </c>
      <c r="N88" s="4">
        <f t="shared" si="11"/>
        <v>0</v>
      </c>
      <c r="O88" s="4">
        <f t="shared" si="12"/>
        <v>0</v>
      </c>
      <c r="P88" s="4">
        <f>IF(K88&lt;&gt;"Yes",0,IF(Sales_Tax_Settings!$B$6="Yes",E88/(1+Sales_Tax_Settings!$B$10),E88))</f>
        <v>0</v>
      </c>
      <c r="Q88" s="4">
        <f>IF(K88&lt;&gt;"Yes",0,P88*Sales_Tax_Settings!$B$8)</f>
        <v>0</v>
      </c>
      <c r="R88" s="4">
        <f>IF(K88&lt;&gt;"Yes",0,P88*Sales_Tax_Settings!$B$9)</f>
        <v>0</v>
      </c>
      <c r="S88" s="4">
        <f t="shared" si="13"/>
        <v>0</v>
      </c>
    </row>
    <row r="89" spans="1:19" x14ac:dyDescent="0.3">
      <c r="A89" t="str">
        <f>IF(Expense_Input!A89="","",Expense_Input!A89)</f>
        <v/>
      </c>
      <c r="B89" t="str">
        <f>IF(Expense_Input!B89="","",Expense_Input!B89)</f>
        <v/>
      </c>
      <c r="C89" t="str">
        <f t="shared" si="7"/>
        <v/>
      </c>
      <c r="D89" t="str">
        <f>IF(Expense_Input!C89="","",Expense_Input!C89)</f>
        <v/>
      </c>
      <c r="E89" s="4" t="str">
        <f>IF(Expense_Input!D89="","",Expense_Input!D89)</f>
        <v/>
      </c>
      <c r="F89" t="str">
        <f>IF(Expense_Input!E89="","",Expense_Input!E89)</f>
        <v/>
      </c>
      <c r="G89" t="str">
        <f>IF(Expense_Input!H89="","",Expense_Input!H89)</f>
        <v/>
      </c>
      <c r="H89" t="str">
        <f>IF(Expense_Input!I89="","Auto",Expense_Input!I89)</f>
        <v>Auto</v>
      </c>
      <c r="I89" t="str">
        <f>IF(F89="","",IFERROR(VLOOKUP(F89,Sales_Tax_Settings!$A$15:$B$27,2,FALSE),"Tax Unknown"))</f>
        <v/>
      </c>
      <c r="J89" t="str">
        <f t="shared" si="8"/>
        <v/>
      </c>
      <c r="K89" t="str">
        <f>IF(AND(Sales_Tax_Settings!$B$5="Yes",G89="Personal Expense",J89="Taxable"),"Yes","No")</f>
        <v>No</v>
      </c>
      <c r="L89" s="4">
        <f t="shared" si="9"/>
        <v>0</v>
      </c>
      <c r="M89" s="4">
        <f t="shared" si="10"/>
        <v>0</v>
      </c>
      <c r="N89" s="4">
        <f t="shared" si="11"/>
        <v>0</v>
      </c>
      <c r="O89" s="4">
        <f t="shared" si="12"/>
        <v>0</v>
      </c>
      <c r="P89" s="4">
        <f>IF(K89&lt;&gt;"Yes",0,IF(Sales_Tax_Settings!$B$6="Yes",E89/(1+Sales_Tax_Settings!$B$10),E89))</f>
        <v>0</v>
      </c>
      <c r="Q89" s="4">
        <f>IF(K89&lt;&gt;"Yes",0,P89*Sales_Tax_Settings!$B$8)</f>
        <v>0</v>
      </c>
      <c r="R89" s="4">
        <f>IF(K89&lt;&gt;"Yes",0,P89*Sales_Tax_Settings!$B$9)</f>
        <v>0</v>
      </c>
      <c r="S89" s="4">
        <f t="shared" si="13"/>
        <v>0</v>
      </c>
    </row>
    <row r="90" spans="1:19" x14ac:dyDescent="0.3">
      <c r="A90" t="str">
        <f>IF(Expense_Input!A90="","",Expense_Input!A90)</f>
        <v/>
      </c>
      <c r="B90" t="str">
        <f>IF(Expense_Input!B90="","",Expense_Input!B90)</f>
        <v/>
      </c>
      <c r="C90" t="str">
        <f t="shared" si="7"/>
        <v/>
      </c>
      <c r="D90" t="str">
        <f>IF(Expense_Input!C90="","",Expense_Input!C90)</f>
        <v/>
      </c>
      <c r="E90" s="4" t="str">
        <f>IF(Expense_Input!D90="","",Expense_Input!D90)</f>
        <v/>
      </c>
      <c r="F90" t="str">
        <f>IF(Expense_Input!E90="","",Expense_Input!E90)</f>
        <v/>
      </c>
      <c r="G90" t="str">
        <f>IF(Expense_Input!H90="","",Expense_Input!H90)</f>
        <v/>
      </c>
      <c r="H90" t="str">
        <f>IF(Expense_Input!I90="","Auto",Expense_Input!I90)</f>
        <v>Auto</v>
      </c>
      <c r="I90" t="str">
        <f>IF(F90="","",IFERROR(VLOOKUP(F90,Sales_Tax_Settings!$A$15:$B$27,2,FALSE),"Tax Unknown"))</f>
        <v/>
      </c>
      <c r="J90" t="str">
        <f t="shared" si="8"/>
        <v/>
      </c>
      <c r="K90" t="str">
        <f>IF(AND(Sales_Tax_Settings!$B$5="Yes",G90="Personal Expense",J90="Taxable"),"Yes","No")</f>
        <v>No</v>
      </c>
      <c r="L90" s="4">
        <f t="shared" si="9"/>
        <v>0</v>
      </c>
      <c r="M90" s="4">
        <f t="shared" si="10"/>
        <v>0</v>
      </c>
      <c r="N90" s="4">
        <f t="shared" si="11"/>
        <v>0</v>
      </c>
      <c r="O90" s="4">
        <f t="shared" si="12"/>
        <v>0</v>
      </c>
      <c r="P90" s="4">
        <f>IF(K90&lt;&gt;"Yes",0,IF(Sales_Tax_Settings!$B$6="Yes",E90/(1+Sales_Tax_Settings!$B$10),E90))</f>
        <v>0</v>
      </c>
      <c r="Q90" s="4">
        <f>IF(K90&lt;&gt;"Yes",0,P90*Sales_Tax_Settings!$B$8)</f>
        <v>0</v>
      </c>
      <c r="R90" s="4">
        <f>IF(K90&lt;&gt;"Yes",0,P90*Sales_Tax_Settings!$B$9)</f>
        <v>0</v>
      </c>
      <c r="S90" s="4">
        <f t="shared" si="13"/>
        <v>0</v>
      </c>
    </row>
    <row r="91" spans="1:19" x14ac:dyDescent="0.3">
      <c r="A91" t="str">
        <f>IF(Expense_Input!A91="","",Expense_Input!A91)</f>
        <v/>
      </c>
      <c r="B91" t="str">
        <f>IF(Expense_Input!B91="","",Expense_Input!B91)</f>
        <v/>
      </c>
      <c r="C91" t="str">
        <f t="shared" si="7"/>
        <v/>
      </c>
      <c r="D91" t="str">
        <f>IF(Expense_Input!C91="","",Expense_Input!C91)</f>
        <v/>
      </c>
      <c r="E91" s="4" t="str">
        <f>IF(Expense_Input!D91="","",Expense_Input!D91)</f>
        <v/>
      </c>
      <c r="F91" t="str">
        <f>IF(Expense_Input!E91="","",Expense_Input!E91)</f>
        <v/>
      </c>
      <c r="G91" t="str">
        <f>IF(Expense_Input!H91="","",Expense_Input!H91)</f>
        <v/>
      </c>
      <c r="H91" t="str">
        <f>IF(Expense_Input!I91="","Auto",Expense_Input!I91)</f>
        <v>Auto</v>
      </c>
      <c r="I91" t="str">
        <f>IF(F91="","",IFERROR(VLOOKUP(F91,Sales_Tax_Settings!$A$15:$B$27,2,FALSE),"Tax Unknown"))</f>
        <v/>
      </c>
      <c r="J91" t="str">
        <f t="shared" si="8"/>
        <v/>
      </c>
      <c r="K91" t="str">
        <f>IF(AND(Sales_Tax_Settings!$B$5="Yes",G91="Personal Expense",J91="Taxable"),"Yes","No")</f>
        <v>No</v>
      </c>
      <c r="L91" s="4">
        <f t="shared" si="9"/>
        <v>0</v>
      </c>
      <c r="M91" s="4">
        <f t="shared" si="10"/>
        <v>0</v>
      </c>
      <c r="N91" s="4">
        <f t="shared" si="11"/>
        <v>0</v>
      </c>
      <c r="O91" s="4">
        <f t="shared" si="12"/>
        <v>0</v>
      </c>
      <c r="P91" s="4">
        <f>IF(K91&lt;&gt;"Yes",0,IF(Sales_Tax_Settings!$B$6="Yes",E91/(1+Sales_Tax_Settings!$B$10),E91))</f>
        <v>0</v>
      </c>
      <c r="Q91" s="4">
        <f>IF(K91&lt;&gt;"Yes",0,P91*Sales_Tax_Settings!$B$8)</f>
        <v>0</v>
      </c>
      <c r="R91" s="4">
        <f>IF(K91&lt;&gt;"Yes",0,P91*Sales_Tax_Settings!$B$9)</f>
        <v>0</v>
      </c>
      <c r="S91" s="4">
        <f t="shared" si="13"/>
        <v>0</v>
      </c>
    </row>
    <row r="92" spans="1:19" x14ac:dyDescent="0.3">
      <c r="A92" t="str">
        <f>IF(Expense_Input!A92="","",Expense_Input!A92)</f>
        <v/>
      </c>
      <c r="B92" t="str">
        <f>IF(Expense_Input!B92="","",Expense_Input!B92)</f>
        <v/>
      </c>
      <c r="C92" t="str">
        <f t="shared" si="7"/>
        <v/>
      </c>
      <c r="D92" t="str">
        <f>IF(Expense_Input!C92="","",Expense_Input!C92)</f>
        <v/>
      </c>
      <c r="E92" s="4" t="str">
        <f>IF(Expense_Input!D92="","",Expense_Input!D92)</f>
        <v/>
      </c>
      <c r="F92" t="str">
        <f>IF(Expense_Input!E92="","",Expense_Input!E92)</f>
        <v/>
      </c>
      <c r="G92" t="str">
        <f>IF(Expense_Input!H92="","",Expense_Input!H92)</f>
        <v/>
      </c>
      <c r="H92" t="str">
        <f>IF(Expense_Input!I92="","Auto",Expense_Input!I92)</f>
        <v>Auto</v>
      </c>
      <c r="I92" t="str">
        <f>IF(F92="","",IFERROR(VLOOKUP(F92,Sales_Tax_Settings!$A$15:$B$27,2,FALSE),"Tax Unknown"))</f>
        <v/>
      </c>
      <c r="J92" t="str">
        <f t="shared" si="8"/>
        <v/>
      </c>
      <c r="K92" t="str">
        <f>IF(AND(Sales_Tax_Settings!$B$5="Yes",G92="Personal Expense",J92="Taxable"),"Yes","No")</f>
        <v>No</v>
      </c>
      <c r="L92" s="4">
        <f t="shared" si="9"/>
        <v>0</v>
      </c>
      <c r="M92" s="4">
        <f t="shared" si="10"/>
        <v>0</v>
      </c>
      <c r="N92" s="4">
        <f t="shared" si="11"/>
        <v>0</v>
      </c>
      <c r="O92" s="4">
        <f t="shared" si="12"/>
        <v>0</v>
      </c>
      <c r="P92" s="4">
        <f>IF(K92&lt;&gt;"Yes",0,IF(Sales_Tax_Settings!$B$6="Yes",E92/(1+Sales_Tax_Settings!$B$10),E92))</f>
        <v>0</v>
      </c>
      <c r="Q92" s="4">
        <f>IF(K92&lt;&gt;"Yes",0,P92*Sales_Tax_Settings!$B$8)</f>
        <v>0</v>
      </c>
      <c r="R92" s="4">
        <f>IF(K92&lt;&gt;"Yes",0,P92*Sales_Tax_Settings!$B$9)</f>
        <v>0</v>
      </c>
      <c r="S92" s="4">
        <f t="shared" si="13"/>
        <v>0</v>
      </c>
    </row>
    <row r="93" spans="1:19" x14ac:dyDescent="0.3">
      <c r="A93" t="str">
        <f>IF(Expense_Input!A93="","",Expense_Input!A93)</f>
        <v/>
      </c>
      <c r="B93" t="str">
        <f>IF(Expense_Input!B93="","",Expense_Input!B93)</f>
        <v/>
      </c>
      <c r="C93" t="str">
        <f t="shared" si="7"/>
        <v/>
      </c>
      <c r="D93" t="str">
        <f>IF(Expense_Input!C93="","",Expense_Input!C93)</f>
        <v/>
      </c>
      <c r="E93" s="4" t="str">
        <f>IF(Expense_Input!D93="","",Expense_Input!D93)</f>
        <v/>
      </c>
      <c r="F93" t="str">
        <f>IF(Expense_Input!E93="","",Expense_Input!E93)</f>
        <v/>
      </c>
      <c r="G93" t="str">
        <f>IF(Expense_Input!H93="","",Expense_Input!H93)</f>
        <v/>
      </c>
      <c r="H93" t="str">
        <f>IF(Expense_Input!I93="","Auto",Expense_Input!I93)</f>
        <v>Auto</v>
      </c>
      <c r="I93" t="str">
        <f>IF(F93="","",IFERROR(VLOOKUP(F93,Sales_Tax_Settings!$A$15:$B$27,2,FALSE),"Tax Unknown"))</f>
        <v/>
      </c>
      <c r="J93" t="str">
        <f t="shared" si="8"/>
        <v/>
      </c>
      <c r="K93" t="str">
        <f>IF(AND(Sales_Tax_Settings!$B$5="Yes",G93="Personal Expense",J93="Taxable"),"Yes","No")</f>
        <v>No</v>
      </c>
      <c r="L93" s="4">
        <f t="shared" si="9"/>
        <v>0</v>
      </c>
      <c r="M93" s="4">
        <f t="shared" si="10"/>
        <v>0</v>
      </c>
      <c r="N93" s="4">
        <f t="shared" si="11"/>
        <v>0</v>
      </c>
      <c r="O93" s="4">
        <f t="shared" si="12"/>
        <v>0</v>
      </c>
      <c r="P93" s="4">
        <f>IF(K93&lt;&gt;"Yes",0,IF(Sales_Tax_Settings!$B$6="Yes",E93/(1+Sales_Tax_Settings!$B$10),E93))</f>
        <v>0</v>
      </c>
      <c r="Q93" s="4">
        <f>IF(K93&lt;&gt;"Yes",0,P93*Sales_Tax_Settings!$B$8)</f>
        <v>0</v>
      </c>
      <c r="R93" s="4">
        <f>IF(K93&lt;&gt;"Yes",0,P93*Sales_Tax_Settings!$B$9)</f>
        <v>0</v>
      </c>
      <c r="S93" s="4">
        <f t="shared" si="13"/>
        <v>0</v>
      </c>
    </row>
    <row r="94" spans="1:19" x14ac:dyDescent="0.3">
      <c r="A94" t="str">
        <f>IF(Expense_Input!A94="","",Expense_Input!A94)</f>
        <v/>
      </c>
      <c r="B94" t="str">
        <f>IF(Expense_Input!B94="","",Expense_Input!B94)</f>
        <v/>
      </c>
      <c r="C94" t="str">
        <f t="shared" si="7"/>
        <v/>
      </c>
      <c r="D94" t="str">
        <f>IF(Expense_Input!C94="","",Expense_Input!C94)</f>
        <v/>
      </c>
      <c r="E94" s="4" t="str">
        <f>IF(Expense_Input!D94="","",Expense_Input!D94)</f>
        <v/>
      </c>
      <c r="F94" t="str">
        <f>IF(Expense_Input!E94="","",Expense_Input!E94)</f>
        <v/>
      </c>
      <c r="G94" t="str">
        <f>IF(Expense_Input!H94="","",Expense_Input!H94)</f>
        <v/>
      </c>
      <c r="H94" t="str">
        <f>IF(Expense_Input!I94="","Auto",Expense_Input!I94)</f>
        <v>Auto</v>
      </c>
      <c r="I94" t="str">
        <f>IF(F94="","",IFERROR(VLOOKUP(F94,Sales_Tax_Settings!$A$15:$B$27,2,FALSE),"Tax Unknown"))</f>
        <v/>
      </c>
      <c r="J94" t="str">
        <f t="shared" si="8"/>
        <v/>
      </c>
      <c r="K94" t="str">
        <f>IF(AND(Sales_Tax_Settings!$B$5="Yes",G94="Personal Expense",J94="Taxable"),"Yes","No")</f>
        <v>No</v>
      </c>
      <c r="L94" s="4">
        <f t="shared" si="9"/>
        <v>0</v>
      </c>
      <c r="M94" s="4">
        <f t="shared" si="10"/>
        <v>0</v>
      </c>
      <c r="N94" s="4">
        <f t="shared" si="11"/>
        <v>0</v>
      </c>
      <c r="O94" s="4">
        <f t="shared" si="12"/>
        <v>0</v>
      </c>
      <c r="P94" s="4">
        <f>IF(K94&lt;&gt;"Yes",0,IF(Sales_Tax_Settings!$B$6="Yes",E94/(1+Sales_Tax_Settings!$B$10),E94))</f>
        <v>0</v>
      </c>
      <c r="Q94" s="4">
        <f>IF(K94&lt;&gt;"Yes",0,P94*Sales_Tax_Settings!$B$8)</f>
        <v>0</v>
      </c>
      <c r="R94" s="4">
        <f>IF(K94&lt;&gt;"Yes",0,P94*Sales_Tax_Settings!$B$9)</f>
        <v>0</v>
      </c>
      <c r="S94" s="4">
        <f t="shared" si="13"/>
        <v>0</v>
      </c>
    </row>
    <row r="95" spans="1:19" x14ac:dyDescent="0.3">
      <c r="A95" t="str">
        <f>IF(Expense_Input!A95="","",Expense_Input!A95)</f>
        <v/>
      </c>
      <c r="B95" t="str">
        <f>IF(Expense_Input!B95="","",Expense_Input!B95)</f>
        <v/>
      </c>
      <c r="C95" t="str">
        <f t="shared" si="7"/>
        <v/>
      </c>
      <c r="D95" t="str">
        <f>IF(Expense_Input!C95="","",Expense_Input!C95)</f>
        <v/>
      </c>
      <c r="E95" s="4" t="str">
        <f>IF(Expense_Input!D95="","",Expense_Input!D95)</f>
        <v/>
      </c>
      <c r="F95" t="str">
        <f>IF(Expense_Input!E95="","",Expense_Input!E95)</f>
        <v/>
      </c>
      <c r="G95" t="str">
        <f>IF(Expense_Input!H95="","",Expense_Input!H95)</f>
        <v/>
      </c>
      <c r="H95" t="str">
        <f>IF(Expense_Input!I95="","Auto",Expense_Input!I95)</f>
        <v>Auto</v>
      </c>
      <c r="I95" t="str">
        <f>IF(F95="","",IFERROR(VLOOKUP(F95,Sales_Tax_Settings!$A$15:$B$27,2,FALSE),"Tax Unknown"))</f>
        <v/>
      </c>
      <c r="J95" t="str">
        <f t="shared" si="8"/>
        <v/>
      </c>
      <c r="K95" t="str">
        <f>IF(AND(Sales_Tax_Settings!$B$5="Yes",G95="Personal Expense",J95="Taxable"),"Yes","No")</f>
        <v>No</v>
      </c>
      <c r="L95" s="4">
        <f t="shared" si="9"/>
        <v>0</v>
      </c>
      <c r="M95" s="4">
        <f t="shared" si="10"/>
        <v>0</v>
      </c>
      <c r="N95" s="4">
        <f t="shared" si="11"/>
        <v>0</v>
      </c>
      <c r="O95" s="4">
        <f t="shared" si="12"/>
        <v>0</v>
      </c>
      <c r="P95" s="4">
        <f>IF(K95&lt;&gt;"Yes",0,IF(Sales_Tax_Settings!$B$6="Yes",E95/(1+Sales_Tax_Settings!$B$10),E95))</f>
        <v>0</v>
      </c>
      <c r="Q95" s="4">
        <f>IF(K95&lt;&gt;"Yes",0,P95*Sales_Tax_Settings!$B$8)</f>
        <v>0</v>
      </c>
      <c r="R95" s="4">
        <f>IF(K95&lt;&gt;"Yes",0,P95*Sales_Tax_Settings!$B$9)</f>
        <v>0</v>
      </c>
      <c r="S95" s="4">
        <f t="shared" si="13"/>
        <v>0</v>
      </c>
    </row>
    <row r="96" spans="1:19" x14ac:dyDescent="0.3">
      <c r="A96" t="str">
        <f>IF(Expense_Input!A96="","",Expense_Input!A96)</f>
        <v/>
      </c>
      <c r="B96" t="str">
        <f>IF(Expense_Input!B96="","",Expense_Input!B96)</f>
        <v/>
      </c>
      <c r="C96" t="str">
        <f t="shared" si="7"/>
        <v/>
      </c>
      <c r="D96" t="str">
        <f>IF(Expense_Input!C96="","",Expense_Input!C96)</f>
        <v/>
      </c>
      <c r="E96" s="4" t="str">
        <f>IF(Expense_Input!D96="","",Expense_Input!D96)</f>
        <v/>
      </c>
      <c r="F96" t="str">
        <f>IF(Expense_Input!E96="","",Expense_Input!E96)</f>
        <v/>
      </c>
      <c r="G96" t="str">
        <f>IF(Expense_Input!H96="","",Expense_Input!H96)</f>
        <v/>
      </c>
      <c r="H96" t="str">
        <f>IF(Expense_Input!I96="","Auto",Expense_Input!I96)</f>
        <v>Auto</v>
      </c>
      <c r="I96" t="str">
        <f>IF(F96="","",IFERROR(VLOOKUP(F96,Sales_Tax_Settings!$A$15:$B$27,2,FALSE),"Tax Unknown"))</f>
        <v/>
      </c>
      <c r="J96" t="str">
        <f t="shared" si="8"/>
        <v/>
      </c>
      <c r="K96" t="str">
        <f>IF(AND(Sales_Tax_Settings!$B$5="Yes",G96="Personal Expense",J96="Taxable"),"Yes","No")</f>
        <v>No</v>
      </c>
      <c r="L96" s="4">
        <f t="shared" si="9"/>
        <v>0</v>
      </c>
      <c r="M96" s="4">
        <f t="shared" si="10"/>
        <v>0</v>
      </c>
      <c r="N96" s="4">
        <f t="shared" si="11"/>
        <v>0</v>
      </c>
      <c r="O96" s="4">
        <f t="shared" si="12"/>
        <v>0</v>
      </c>
      <c r="P96" s="4">
        <f>IF(K96&lt;&gt;"Yes",0,IF(Sales_Tax_Settings!$B$6="Yes",E96/(1+Sales_Tax_Settings!$B$10),E96))</f>
        <v>0</v>
      </c>
      <c r="Q96" s="4">
        <f>IF(K96&lt;&gt;"Yes",0,P96*Sales_Tax_Settings!$B$8)</f>
        <v>0</v>
      </c>
      <c r="R96" s="4">
        <f>IF(K96&lt;&gt;"Yes",0,P96*Sales_Tax_Settings!$B$9)</f>
        <v>0</v>
      </c>
      <c r="S96" s="4">
        <f t="shared" si="13"/>
        <v>0</v>
      </c>
    </row>
    <row r="97" spans="1:19" x14ac:dyDescent="0.3">
      <c r="A97" t="str">
        <f>IF(Expense_Input!A97="","",Expense_Input!A97)</f>
        <v/>
      </c>
      <c r="B97" t="str">
        <f>IF(Expense_Input!B97="","",Expense_Input!B97)</f>
        <v/>
      </c>
      <c r="C97" t="str">
        <f t="shared" si="7"/>
        <v/>
      </c>
      <c r="D97" t="str">
        <f>IF(Expense_Input!C97="","",Expense_Input!C97)</f>
        <v/>
      </c>
      <c r="E97" s="4" t="str">
        <f>IF(Expense_Input!D97="","",Expense_Input!D97)</f>
        <v/>
      </c>
      <c r="F97" t="str">
        <f>IF(Expense_Input!E97="","",Expense_Input!E97)</f>
        <v/>
      </c>
      <c r="G97" t="str">
        <f>IF(Expense_Input!H97="","",Expense_Input!H97)</f>
        <v/>
      </c>
      <c r="H97" t="str">
        <f>IF(Expense_Input!I97="","Auto",Expense_Input!I97)</f>
        <v>Auto</v>
      </c>
      <c r="I97" t="str">
        <f>IF(F97="","",IFERROR(VLOOKUP(F97,Sales_Tax_Settings!$A$15:$B$27,2,FALSE),"Tax Unknown"))</f>
        <v/>
      </c>
      <c r="J97" t="str">
        <f t="shared" si="8"/>
        <v/>
      </c>
      <c r="K97" t="str">
        <f>IF(AND(Sales_Tax_Settings!$B$5="Yes",G97="Personal Expense",J97="Taxable"),"Yes","No")</f>
        <v>No</v>
      </c>
      <c r="L97" s="4">
        <f t="shared" si="9"/>
        <v>0</v>
      </c>
      <c r="M97" s="4">
        <f t="shared" si="10"/>
        <v>0</v>
      </c>
      <c r="N97" s="4">
        <f t="shared" si="11"/>
        <v>0</v>
      </c>
      <c r="O97" s="4">
        <f t="shared" si="12"/>
        <v>0</v>
      </c>
      <c r="P97" s="4">
        <f>IF(K97&lt;&gt;"Yes",0,IF(Sales_Tax_Settings!$B$6="Yes",E97/(1+Sales_Tax_Settings!$B$10),E97))</f>
        <v>0</v>
      </c>
      <c r="Q97" s="4">
        <f>IF(K97&lt;&gt;"Yes",0,P97*Sales_Tax_Settings!$B$8)</f>
        <v>0</v>
      </c>
      <c r="R97" s="4">
        <f>IF(K97&lt;&gt;"Yes",0,P97*Sales_Tax_Settings!$B$9)</f>
        <v>0</v>
      </c>
      <c r="S97" s="4">
        <f t="shared" si="13"/>
        <v>0</v>
      </c>
    </row>
    <row r="98" spans="1:19" x14ac:dyDescent="0.3">
      <c r="A98" t="str">
        <f>IF(Expense_Input!A98="","",Expense_Input!A98)</f>
        <v/>
      </c>
      <c r="B98" t="str">
        <f>IF(Expense_Input!B98="","",Expense_Input!B98)</f>
        <v/>
      </c>
      <c r="C98" t="str">
        <f t="shared" si="7"/>
        <v/>
      </c>
      <c r="D98" t="str">
        <f>IF(Expense_Input!C98="","",Expense_Input!C98)</f>
        <v/>
      </c>
      <c r="E98" s="4" t="str">
        <f>IF(Expense_Input!D98="","",Expense_Input!D98)</f>
        <v/>
      </c>
      <c r="F98" t="str">
        <f>IF(Expense_Input!E98="","",Expense_Input!E98)</f>
        <v/>
      </c>
      <c r="G98" t="str">
        <f>IF(Expense_Input!H98="","",Expense_Input!H98)</f>
        <v/>
      </c>
      <c r="H98" t="str">
        <f>IF(Expense_Input!I98="","Auto",Expense_Input!I98)</f>
        <v>Auto</v>
      </c>
      <c r="I98" t="str">
        <f>IF(F98="","",IFERROR(VLOOKUP(F98,Sales_Tax_Settings!$A$15:$B$27,2,FALSE),"Tax Unknown"))</f>
        <v/>
      </c>
      <c r="J98" t="str">
        <f t="shared" si="8"/>
        <v/>
      </c>
      <c r="K98" t="str">
        <f>IF(AND(Sales_Tax_Settings!$B$5="Yes",G98="Personal Expense",J98="Taxable"),"Yes","No")</f>
        <v>No</v>
      </c>
      <c r="L98" s="4">
        <f t="shared" si="9"/>
        <v>0</v>
      </c>
      <c r="M98" s="4">
        <f t="shared" si="10"/>
        <v>0</v>
      </c>
      <c r="N98" s="4">
        <f t="shared" si="11"/>
        <v>0</v>
      </c>
      <c r="O98" s="4">
        <f t="shared" si="12"/>
        <v>0</v>
      </c>
      <c r="P98" s="4">
        <f>IF(K98&lt;&gt;"Yes",0,IF(Sales_Tax_Settings!$B$6="Yes",E98/(1+Sales_Tax_Settings!$B$10),E98))</f>
        <v>0</v>
      </c>
      <c r="Q98" s="4">
        <f>IF(K98&lt;&gt;"Yes",0,P98*Sales_Tax_Settings!$B$8)</f>
        <v>0</v>
      </c>
      <c r="R98" s="4">
        <f>IF(K98&lt;&gt;"Yes",0,P98*Sales_Tax_Settings!$B$9)</f>
        <v>0</v>
      </c>
      <c r="S98" s="4">
        <f t="shared" si="13"/>
        <v>0</v>
      </c>
    </row>
    <row r="99" spans="1:19" x14ac:dyDescent="0.3">
      <c r="A99" t="str">
        <f>IF(Expense_Input!A99="","",Expense_Input!A99)</f>
        <v/>
      </c>
      <c r="B99" t="str">
        <f>IF(Expense_Input!B99="","",Expense_Input!B99)</f>
        <v/>
      </c>
      <c r="C99" t="str">
        <f t="shared" si="7"/>
        <v/>
      </c>
      <c r="D99" t="str">
        <f>IF(Expense_Input!C99="","",Expense_Input!C99)</f>
        <v/>
      </c>
      <c r="E99" s="4" t="str">
        <f>IF(Expense_Input!D99="","",Expense_Input!D99)</f>
        <v/>
      </c>
      <c r="F99" t="str">
        <f>IF(Expense_Input!E99="","",Expense_Input!E99)</f>
        <v/>
      </c>
      <c r="G99" t="str">
        <f>IF(Expense_Input!H99="","",Expense_Input!H99)</f>
        <v/>
      </c>
      <c r="H99" t="str">
        <f>IF(Expense_Input!I99="","Auto",Expense_Input!I99)</f>
        <v>Auto</v>
      </c>
      <c r="I99" t="str">
        <f>IF(F99="","",IFERROR(VLOOKUP(F99,Sales_Tax_Settings!$A$15:$B$27,2,FALSE),"Tax Unknown"))</f>
        <v/>
      </c>
      <c r="J99" t="str">
        <f t="shared" si="8"/>
        <v/>
      </c>
      <c r="K99" t="str">
        <f>IF(AND(Sales_Tax_Settings!$B$5="Yes",G99="Personal Expense",J99="Taxable"),"Yes","No")</f>
        <v>No</v>
      </c>
      <c r="L99" s="4">
        <f t="shared" si="9"/>
        <v>0</v>
      </c>
      <c r="M99" s="4">
        <f t="shared" si="10"/>
        <v>0</v>
      </c>
      <c r="N99" s="4">
        <f t="shared" si="11"/>
        <v>0</v>
      </c>
      <c r="O99" s="4">
        <f t="shared" si="12"/>
        <v>0</v>
      </c>
      <c r="P99" s="4">
        <f>IF(K99&lt;&gt;"Yes",0,IF(Sales_Tax_Settings!$B$6="Yes",E99/(1+Sales_Tax_Settings!$B$10),E99))</f>
        <v>0</v>
      </c>
      <c r="Q99" s="4">
        <f>IF(K99&lt;&gt;"Yes",0,P99*Sales_Tax_Settings!$B$8)</f>
        <v>0</v>
      </c>
      <c r="R99" s="4">
        <f>IF(K99&lt;&gt;"Yes",0,P99*Sales_Tax_Settings!$B$9)</f>
        <v>0</v>
      </c>
      <c r="S99" s="4">
        <f t="shared" si="13"/>
        <v>0</v>
      </c>
    </row>
    <row r="100" spans="1:19" x14ac:dyDescent="0.3">
      <c r="A100" t="str">
        <f>IF(Expense_Input!A100="","",Expense_Input!A100)</f>
        <v/>
      </c>
      <c r="B100" t="str">
        <f>IF(Expense_Input!B100="","",Expense_Input!B100)</f>
        <v/>
      </c>
      <c r="C100" t="str">
        <f t="shared" si="7"/>
        <v/>
      </c>
      <c r="D100" t="str">
        <f>IF(Expense_Input!C100="","",Expense_Input!C100)</f>
        <v/>
      </c>
      <c r="E100" s="4" t="str">
        <f>IF(Expense_Input!D100="","",Expense_Input!D100)</f>
        <v/>
      </c>
      <c r="F100" t="str">
        <f>IF(Expense_Input!E100="","",Expense_Input!E100)</f>
        <v/>
      </c>
      <c r="G100" t="str">
        <f>IF(Expense_Input!H100="","",Expense_Input!H100)</f>
        <v/>
      </c>
      <c r="H100" t="str">
        <f>IF(Expense_Input!I100="","Auto",Expense_Input!I100)</f>
        <v>Auto</v>
      </c>
      <c r="I100" t="str">
        <f>IF(F100="","",IFERROR(VLOOKUP(F100,Sales_Tax_Settings!$A$15:$B$27,2,FALSE),"Tax Unknown"))</f>
        <v/>
      </c>
      <c r="J100" t="str">
        <f t="shared" si="8"/>
        <v/>
      </c>
      <c r="K100" t="str">
        <f>IF(AND(Sales_Tax_Settings!$B$5="Yes",G100="Personal Expense",J100="Taxable"),"Yes","No")</f>
        <v>No</v>
      </c>
      <c r="L100" s="4">
        <f t="shared" si="9"/>
        <v>0</v>
      </c>
      <c r="M100" s="4">
        <f t="shared" si="10"/>
        <v>0</v>
      </c>
      <c r="N100" s="4">
        <f t="shared" si="11"/>
        <v>0</v>
      </c>
      <c r="O100" s="4">
        <f t="shared" si="12"/>
        <v>0</v>
      </c>
      <c r="P100" s="4">
        <f>IF(K100&lt;&gt;"Yes",0,IF(Sales_Tax_Settings!$B$6="Yes",E100/(1+Sales_Tax_Settings!$B$10),E100))</f>
        <v>0</v>
      </c>
      <c r="Q100" s="4">
        <f>IF(K100&lt;&gt;"Yes",0,P100*Sales_Tax_Settings!$B$8)</f>
        <v>0</v>
      </c>
      <c r="R100" s="4">
        <f>IF(K100&lt;&gt;"Yes",0,P100*Sales_Tax_Settings!$B$9)</f>
        <v>0</v>
      </c>
      <c r="S100" s="4">
        <f t="shared" si="13"/>
        <v>0</v>
      </c>
    </row>
    <row r="101" spans="1:19" x14ac:dyDescent="0.3">
      <c r="A101" t="str">
        <f>IF(Expense_Input!A101="","",Expense_Input!A101)</f>
        <v/>
      </c>
      <c r="B101" t="str">
        <f>IF(Expense_Input!B101="","",Expense_Input!B101)</f>
        <v/>
      </c>
      <c r="C101" t="str">
        <f t="shared" si="7"/>
        <v/>
      </c>
      <c r="D101" t="str">
        <f>IF(Expense_Input!C101="","",Expense_Input!C101)</f>
        <v/>
      </c>
      <c r="E101" s="4" t="str">
        <f>IF(Expense_Input!D101="","",Expense_Input!D101)</f>
        <v/>
      </c>
      <c r="F101" t="str">
        <f>IF(Expense_Input!E101="","",Expense_Input!E101)</f>
        <v/>
      </c>
      <c r="G101" t="str">
        <f>IF(Expense_Input!H101="","",Expense_Input!H101)</f>
        <v/>
      </c>
      <c r="H101" t="str">
        <f>IF(Expense_Input!I101="","Auto",Expense_Input!I101)</f>
        <v>Auto</v>
      </c>
      <c r="I101" t="str">
        <f>IF(F101="","",IFERROR(VLOOKUP(F101,Sales_Tax_Settings!$A$15:$B$27,2,FALSE),"Tax Unknown"))</f>
        <v/>
      </c>
      <c r="J101" t="str">
        <f t="shared" si="8"/>
        <v/>
      </c>
      <c r="K101" t="str">
        <f>IF(AND(Sales_Tax_Settings!$B$5="Yes",G101="Personal Expense",J101="Taxable"),"Yes","No")</f>
        <v>No</v>
      </c>
      <c r="L101" s="4">
        <f t="shared" si="9"/>
        <v>0</v>
      </c>
      <c r="M101" s="4">
        <f t="shared" si="10"/>
        <v>0</v>
      </c>
      <c r="N101" s="4">
        <f t="shared" si="11"/>
        <v>0</v>
      </c>
      <c r="O101" s="4">
        <f t="shared" si="12"/>
        <v>0</v>
      </c>
      <c r="P101" s="4">
        <f>IF(K101&lt;&gt;"Yes",0,IF(Sales_Tax_Settings!$B$6="Yes",E101/(1+Sales_Tax_Settings!$B$10),E101))</f>
        <v>0</v>
      </c>
      <c r="Q101" s="4">
        <f>IF(K101&lt;&gt;"Yes",0,P101*Sales_Tax_Settings!$B$8)</f>
        <v>0</v>
      </c>
      <c r="R101" s="4">
        <f>IF(K101&lt;&gt;"Yes",0,P101*Sales_Tax_Settings!$B$9)</f>
        <v>0</v>
      </c>
      <c r="S101" s="4">
        <f t="shared" si="13"/>
        <v>0</v>
      </c>
    </row>
    <row r="102" spans="1:19" x14ac:dyDescent="0.3">
      <c r="A102" t="str">
        <f>IF(Expense_Input!A102="","",Expense_Input!A102)</f>
        <v/>
      </c>
      <c r="B102" t="str">
        <f>IF(Expense_Input!B102="","",Expense_Input!B102)</f>
        <v/>
      </c>
      <c r="C102" t="str">
        <f t="shared" si="7"/>
        <v/>
      </c>
      <c r="D102" t="str">
        <f>IF(Expense_Input!C102="","",Expense_Input!C102)</f>
        <v/>
      </c>
      <c r="E102" s="4" t="str">
        <f>IF(Expense_Input!D102="","",Expense_Input!D102)</f>
        <v/>
      </c>
      <c r="F102" t="str">
        <f>IF(Expense_Input!E102="","",Expense_Input!E102)</f>
        <v/>
      </c>
      <c r="G102" t="str">
        <f>IF(Expense_Input!H102="","",Expense_Input!H102)</f>
        <v/>
      </c>
      <c r="H102" t="str">
        <f>IF(Expense_Input!I102="","Auto",Expense_Input!I102)</f>
        <v>Auto</v>
      </c>
      <c r="I102" t="str">
        <f>IF(F102="","",IFERROR(VLOOKUP(F102,Sales_Tax_Settings!$A$15:$B$27,2,FALSE),"Tax Unknown"))</f>
        <v/>
      </c>
      <c r="J102" t="str">
        <f t="shared" si="8"/>
        <v/>
      </c>
      <c r="K102" t="str">
        <f>IF(AND(Sales_Tax_Settings!$B$5="Yes",G102="Personal Expense",J102="Taxable"),"Yes","No")</f>
        <v>No</v>
      </c>
      <c r="L102" s="4">
        <f t="shared" si="9"/>
        <v>0</v>
      </c>
      <c r="M102" s="4">
        <f t="shared" si="10"/>
        <v>0</v>
      </c>
      <c r="N102" s="4">
        <f t="shared" si="11"/>
        <v>0</v>
      </c>
      <c r="O102" s="4">
        <f t="shared" si="12"/>
        <v>0</v>
      </c>
      <c r="P102" s="4">
        <f>IF(K102&lt;&gt;"Yes",0,IF(Sales_Tax_Settings!$B$6="Yes",E102/(1+Sales_Tax_Settings!$B$10),E102))</f>
        <v>0</v>
      </c>
      <c r="Q102" s="4">
        <f>IF(K102&lt;&gt;"Yes",0,P102*Sales_Tax_Settings!$B$8)</f>
        <v>0</v>
      </c>
      <c r="R102" s="4">
        <f>IF(K102&lt;&gt;"Yes",0,P102*Sales_Tax_Settings!$B$9)</f>
        <v>0</v>
      </c>
      <c r="S102" s="4">
        <f t="shared" si="13"/>
        <v>0</v>
      </c>
    </row>
    <row r="103" spans="1:19" x14ac:dyDescent="0.3">
      <c r="A103" t="str">
        <f>IF(Expense_Input!A103="","",Expense_Input!A103)</f>
        <v/>
      </c>
      <c r="B103" t="str">
        <f>IF(Expense_Input!B103="","",Expense_Input!B103)</f>
        <v/>
      </c>
      <c r="C103" t="str">
        <f t="shared" si="7"/>
        <v/>
      </c>
      <c r="D103" t="str">
        <f>IF(Expense_Input!C103="","",Expense_Input!C103)</f>
        <v/>
      </c>
      <c r="E103" s="4" t="str">
        <f>IF(Expense_Input!D103="","",Expense_Input!D103)</f>
        <v/>
      </c>
      <c r="F103" t="str">
        <f>IF(Expense_Input!E103="","",Expense_Input!E103)</f>
        <v/>
      </c>
      <c r="G103" t="str">
        <f>IF(Expense_Input!H103="","",Expense_Input!H103)</f>
        <v/>
      </c>
      <c r="H103" t="str">
        <f>IF(Expense_Input!I103="","Auto",Expense_Input!I103)</f>
        <v>Auto</v>
      </c>
      <c r="I103" t="str">
        <f>IF(F103="","",IFERROR(VLOOKUP(F103,Sales_Tax_Settings!$A$15:$B$27,2,FALSE),"Tax Unknown"))</f>
        <v/>
      </c>
      <c r="J103" t="str">
        <f t="shared" si="8"/>
        <v/>
      </c>
      <c r="K103" t="str">
        <f>IF(AND(Sales_Tax_Settings!$B$5="Yes",G103="Personal Expense",J103="Taxable"),"Yes","No")</f>
        <v>No</v>
      </c>
      <c r="L103" s="4">
        <f t="shared" si="9"/>
        <v>0</v>
      </c>
      <c r="M103" s="4">
        <f t="shared" si="10"/>
        <v>0</v>
      </c>
      <c r="N103" s="4">
        <f t="shared" si="11"/>
        <v>0</v>
      </c>
      <c r="O103" s="4">
        <f t="shared" si="12"/>
        <v>0</v>
      </c>
      <c r="P103" s="4">
        <f>IF(K103&lt;&gt;"Yes",0,IF(Sales_Tax_Settings!$B$6="Yes",E103/(1+Sales_Tax_Settings!$B$10),E103))</f>
        <v>0</v>
      </c>
      <c r="Q103" s="4">
        <f>IF(K103&lt;&gt;"Yes",0,P103*Sales_Tax_Settings!$B$8)</f>
        <v>0</v>
      </c>
      <c r="R103" s="4">
        <f>IF(K103&lt;&gt;"Yes",0,P103*Sales_Tax_Settings!$B$9)</f>
        <v>0</v>
      </c>
      <c r="S103" s="4">
        <f t="shared" si="13"/>
        <v>0</v>
      </c>
    </row>
    <row r="104" spans="1:19" x14ac:dyDescent="0.3">
      <c r="A104" t="str">
        <f>IF(Expense_Input!A104="","",Expense_Input!A104)</f>
        <v/>
      </c>
      <c r="B104" t="str">
        <f>IF(Expense_Input!B104="","",Expense_Input!B104)</f>
        <v/>
      </c>
      <c r="C104" t="str">
        <f t="shared" si="7"/>
        <v/>
      </c>
      <c r="D104" t="str">
        <f>IF(Expense_Input!C104="","",Expense_Input!C104)</f>
        <v/>
      </c>
      <c r="E104" s="4" t="str">
        <f>IF(Expense_Input!D104="","",Expense_Input!D104)</f>
        <v/>
      </c>
      <c r="F104" t="str">
        <f>IF(Expense_Input!E104="","",Expense_Input!E104)</f>
        <v/>
      </c>
      <c r="G104" t="str">
        <f>IF(Expense_Input!H104="","",Expense_Input!H104)</f>
        <v/>
      </c>
      <c r="H104" t="str">
        <f>IF(Expense_Input!I104="","Auto",Expense_Input!I104)</f>
        <v>Auto</v>
      </c>
      <c r="I104" t="str">
        <f>IF(F104="","",IFERROR(VLOOKUP(F104,Sales_Tax_Settings!$A$15:$B$27,2,FALSE),"Tax Unknown"))</f>
        <v/>
      </c>
      <c r="J104" t="str">
        <f t="shared" si="8"/>
        <v/>
      </c>
      <c r="K104" t="str">
        <f>IF(AND(Sales_Tax_Settings!$B$5="Yes",G104="Personal Expense",J104="Taxable"),"Yes","No")</f>
        <v>No</v>
      </c>
      <c r="L104" s="4">
        <f t="shared" si="9"/>
        <v>0</v>
      </c>
      <c r="M104" s="4">
        <f t="shared" si="10"/>
        <v>0</v>
      </c>
      <c r="N104" s="4">
        <f t="shared" si="11"/>
        <v>0</v>
      </c>
      <c r="O104" s="4">
        <f t="shared" si="12"/>
        <v>0</v>
      </c>
      <c r="P104" s="4">
        <f>IF(K104&lt;&gt;"Yes",0,IF(Sales_Tax_Settings!$B$6="Yes",E104/(1+Sales_Tax_Settings!$B$10),E104))</f>
        <v>0</v>
      </c>
      <c r="Q104" s="4">
        <f>IF(K104&lt;&gt;"Yes",0,P104*Sales_Tax_Settings!$B$8)</f>
        <v>0</v>
      </c>
      <c r="R104" s="4">
        <f>IF(K104&lt;&gt;"Yes",0,P104*Sales_Tax_Settings!$B$9)</f>
        <v>0</v>
      </c>
      <c r="S104" s="4">
        <f t="shared" si="13"/>
        <v>0</v>
      </c>
    </row>
    <row r="105" spans="1:19" x14ac:dyDescent="0.3">
      <c r="A105" t="str">
        <f>IF(Expense_Input!A105="","",Expense_Input!A105)</f>
        <v/>
      </c>
      <c r="B105" t="str">
        <f>IF(Expense_Input!B105="","",Expense_Input!B105)</f>
        <v/>
      </c>
      <c r="C105" t="str">
        <f t="shared" si="7"/>
        <v/>
      </c>
      <c r="D105" t="str">
        <f>IF(Expense_Input!C105="","",Expense_Input!C105)</f>
        <v/>
      </c>
      <c r="E105" s="4" t="str">
        <f>IF(Expense_Input!D105="","",Expense_Input!D105)</f>
        <v/>
      </c>
      <c r="F105" t="str">
        <f>IF(Expense_Input!E105="","",Expense_Input!E105)</f>
        <v/>
      </c>
      <c r="G105" t="str">
        <f>IF(Expense_Input!H105="","",Expense_Input!H105)</f>
        <v/>
      </c>
      <c r="H105" t="str">
        <f>IF(Expense_Input!I105="","Auto",Expense_Input!I105)</f>
        <v>Auto</v>
      </c>
      <c r="I105" t="str">
        <f>IF(F105="","",IFERROR(VLOOKUP(F105,Sales_Tax_Settings!$A$15:$B$27,2,FALSE),"Tax Unknown"))</f>
        <v/>
      </c>
      <c r="J105" t="str">
        <f t="shared" si="8"/>
        <v/>
      </c>
      <c r="K105" t="str">
        <f>IF(AND(Sales_Tax_Settings!$B$5="Yes",G105="Personal Expense",J105="Taxable"),"Yes","No")</f>
        <v>No</v>
      </c>
      <c r="L105" s="4">
        <f t="shared" si="9"/>
        <v>0</v>
      </c>
      <c r="M105" s="4">
        <f t="shared" si="10"/>
        <v>0</v>
      </c>
      <c r="N105" s="4">
        <f t="shared" si="11"/>
        <v>0</v>
      </c>
      <c r="O105" s="4">
        <f t="shared" si="12"/>
        <v>0</v>
      </c>
      <c r="P105" s="4">
        <f>IF(K105&lt;&gt;"Yes",0,IF(Sales_Tax_Settings!$B$6="Yes",E105/(1+Sales_Tax_Settings!$B$10),E105))</f>
        <v>0</v>
      </c>
      <c r="Q105" s="4">
        <f>IF(K105&lt;&gt;"Yes",0,P105*Sales_Tax_Settings!$B$8)</f>
        <v>0</v>
      </c>
      <c r="R105" s="4">
        <f>IF(K105&lt;&gt;"Yes",0,P105*Sales_Tax_Settings!$B$9)</f>
        <v>0</v>
      </c>
      <c r="S105" s="4">
        <f t="shared" si="13"/>
        <v>0</v>
      </c>
    </row>
    <row r="106" spans="1:19" x14ac:dyDescent="0.3">
      <c r="A106" t="str">
        <f>IF(Expense_Input!A106="","",Expense_Input!A106)</f>
        <v/>
      </c>
      <c r="B106" t="str">
        <f>IF(Expense_Input!B106="","",Expense_Input!B106)</f>
        <v/>
      </c>
      <c r="C106" t="str">
        <f t="shared" si="7"/>
        <v/>
      </c>
      <c r="D106" t="str">
        <f>IF(Expense_Input!C106="","",Expense_Input!C106)</f>
        <v/>
      </c>
      <c r="E106" s="4" t="str">
        <f>IF(Expense_Input!D106="","",Expense_Input!D106)</f>
        <v/>
      </c>
      <c r="F106" t="str">
        <f>IF(Expense_Input!E106="","",Expense_Input!E106)</f>
        <v/>
      </c>
      <c r="G106" t="str">
        <f>IF(Expense_Input!H106="","",Expense_Input!H106)</f>
        <v/>
      </c>
      <c r="H106" t="str">
        <f>IF(Expense_Input!I106="","Auto",Expense_Input!I106)</f>
        <v>Auto</v>
      </c>
      <c r="I106" t="str">
        <f>IF(F106="","",IFERROR(VLOOKUP(F106,Sales_Tax_Settings!$A$15:$B$27,2,FALSE),"Tax Unknown"))</f>
        <v/>
      </c>
      <c r="J106" t="str">
        <f t="shared" si="8"/>
        <v/>
      </c>
      <c r="K106" t="str">
        <f>IF(AND(Sales_Tax_Settings!$B$5="Yes",G106="Personal Expense",J106="Taxable"),"Yes","No")</f>
        <v>No</v>
      </c>
      <c r="L106" s="4">
        <f t="shared" si="9"/>
        <v>0</v>
      </c>
      <c r="M106" s="4">
        <f t="shared" si="10"/>
        <v>0</v>
      </c>
      <c r="N106" s="4">
        <f t="shared" si="11"/>
        <v>0</v>
      </c>
      <c r="O106" s="4">
        <f t="shared" si="12"/>
        <v>0</v>
      </c>
      <c r="P106" s="4">
        <f>IF(K106&lt;&gt;"Yes",0,IF(Sales_Tax_Settings!$B$6="Yes",E106/(1+Sales_Tax_Settings!$B$10),E106))</f>
        <v>0</v>
      </c>
      <c r="Q106" s="4">
        <f>IF(K106&lt;&gt;"Yes",0,P106*Sales_Tax_Settings!$B$8)</f>
        <v>0</v>
      </c>
      <c r="R106" s="4">
        <f>IF(K106&lt;&gt;"Yes",0,P106*Sales_Tax_Settings!$B$9)</f>
        <v>0</v>
      </c>
      <c r="S106" s="4">
        <f t="shared" si="13"/>
        <v>0</v>
      </c>
    </row>
    <row r="107" spans="1:19" x14ac:dyDescent="0.3">
      <c r="A107" t="str">
        <f>IF(Expense_Input!A107="","",Expense_Input!A107)</f>
        <v/>
      </c>
      <c r="B107" t="str">
        <f>IF(Expense_Input!B107="","",Expense_Input!B107)</f>
        <v/>
      </c>
      <c r="C107" t="str">
        <f t="shared" si="7"/>
        <v/>
      </c>
      <c r="D107" t="str">
        <f>IF(Expense_Input!C107="","",Expense_Input!C107)</f>
        <v/>
      </c>
      <c r="E107" s="4" t="str">
        <f>IF(Expense_Input!D107="","",Expense_Input!D107)</f>
        <v/>
      </c>
      <c r="F107" t="str">
        <f>IF(Expense_Input!E107="","",Expense_Input!E107)</f>
        <v/>
      </c>
      <c r="G107" t="str">
        <f>IF(Expense_Input!H107="","",Expense_Input!H107)</f>
        <v/>
      </c>
      <c r="H107" t="str">
        <f>IF(Expense_Input!I107="","Auto",Expense_Input!I107)</f>
        <v>Auto</v>
      </c>
      <c r="I107" t="str">
        <f>IF(F107="","",IFERROR(VLOOKUP(F107,Sales_Tax_Settings!$A$15:$B$27,2,FALSE),"Tax Unknown"))</f>
        <v/>
      </c>
      <c r="J107" t="str">
        <f t="shared" si="8"/>
        <v/>
      </c>
      <c r="K107" t="str">
        <f>IF(AND(Sales_Tax_Settings!$B$5="Yes",G107="Personal Expense",J107="Taxable"),"Yes","No")</f>
        <v>No</v>
      </c>
      <c r="L107" s="4">
        <f t="shared" si="9"/>
        <v>0</v>
      </c>
      <c r="M107" s="4">
        <f t="shared" si="10"/>
        <v>0</v>
      </c>
      <c r="N107" s="4">
        <f t="shared" si="11"/>
        <v>0</v>
      </c>
      <c r="O107" s="4">
        <f t="shared" si="12"/>
        <v>0</v>
      </c>
      <c r="P107" s="4">
        <f>IF(K107&lt;&gt;"Yes",0,IF(Sales_Tax_Settings!$B$6="Yes",E107/(1+Sales_Tax_Settings!$B$10),E107))</f>
        <v>0</v>
      </c>
      <c r="Q107" s="4">
        <f>IF(K107&lt;&gt;"Yes",0,P107*Sales_Tax_Settings!$B$8)</f>
        <v>0</v>
      </c>
      <c r="R107" s="4">
        <f>IF(K107&lt;&gt;"Yes",0,P107*Sales_Tax_Settings!$B$9)</f>
        <v>0</v>
      </c>
      <c r="S107" s="4">
        <f t="shared" si="13"/>
        <v>0</v>
      </c>
    </row>
    <row r="108" spans="1:19" x14ac:dyDescent="0.3">
      <c r="A108" t="str">
        <f>IF(Expense_Input!A108="","",Expense_Input!A108)</f>
        <v/>
      </c>
      <c r="B108" t="str">
        <f>IF(Expense_Input!B108="","",Expense_Input!B108)</f>
        <v/>
      </c>
      <c r="C108" t="str">
        <f t="shared" si="7"/>
        <v/>
      </c>
      <c r="D108" t="str">
        <f>IF(Expense_Input!C108="","",Expense_Input!C108)</f>
        <v/>
      </c>
      <c r="E108" s="4" t="str">
        <f>IF(Expense_Input!D108="","",Expense_Input!D108)</f>
        <v/>
      </c>
      <c r="F108" t="str">
        <f>IF(Expense_Input!E108="","",Expense_Input!E108)</f>
        <v/>
      </c>
      <c r="G108" t="str">
        <f>IF(Expense_Input!H108="","",Expense_Input!H108)</f>
        <v/>
      </c>
      <c r="H108" t="str">
        <f>IF(Expense_Input!I108="","Auto",Expense_Input!I108)</f>
        <v>Auto</v>
      </c>
      <c r="I108" t="str">
        <f>IF(F108="","",IFERROR(VLOOKUP(F108,Sales_Tax_Settings!$A$15:$B$27,2,FALSE),"Tax Unknown"))</f>
        <v/>
      </c>
      <c r="J108" t="str">
        <f t="shared" si="8"/>
        <v/>
      </c>
      <c r="K108" t="str">
        <f>IF(AND(Sales_Tax_Settings!$B$5="Yes",G108="Personal Expense",J108="Taxable"),"Yes","No")</f>
        <v>No</v>
      </c>
      <c r="L108" s="4">
        <f t="shared" si="9"/>
        <v>0</v>
      </c>
      <c r="M108" s="4">
        <f t="shared" si="10"/>
        <v>0</v>
      </c>
      <c r="N108" s="4">
        <f t="shared" si="11"/>
        <v>0</v>
      </c>
      <c r="O108" s="4">
        <f t="shared" si="12"/>
        <v>0</v>
      </c>
      <c r="P108" s="4">
        <f>IF(K108&lt;&gt;"Yes",0,IF(Sales_Tax_Settings!$B$6="Yes",E108/(1+Sales_Tax_Settings!$B$10),E108))</f>
        <v>0</v>
      </c>
      <c r="Q108" s="4">
        <f>IF(K108&lt;&gt;"Yes",0,P108*Sales_Tax_Settings!$B$8)</f>
        <v>0</v>
      </c>
      <c r="R108" s="4">
        <f>IF(K108&lt;&gt;"Yes",0,P108*Sales_Tax_Settings!$B$9)</f>
        <v>0</v>
      </c>
      <c r="S108" s="4">
        <f t="shared" si="13"/>
        <v>0</v>
      </c>
    </row>
    <row r="109" spans="1:19" x14ac:dyDescent="0.3">
      <c r="A109" t="str">
        <f>IF(Expense_Input!A109="","",Expense_Input!A109)</f>
        <v/>
      </c>
      <c r="B109" t="str">
        <f>IF(Expense_Input!B109="","",Expense_Input!B109)</f>
        <v/>
      </c>
      <c r="C109" t="str">
        <f t="shared" si="7"/>
        <v/>
      </c>
      <c r="D109" t="str">
        <f>IF(Expense_Input!C109="","",Expense_Input!C109)</f>
        <v/>
      </c>
      <c r="E109" s="4" t="str">
        <f>IF(Expense_Input!D109="","",Expense_Input!D109)</f>
        <v/>
      </c>
      <c r="F109" t="str">
        <f>IF(Expense_Input!E109="","",Expense_Input!E109)</f>
        <v/>
      </c>
      <c r="G109" t="str">
        <f>IF(Expense_Input!H109="","",Expense_Input!H109)</f>
        <v/>
      </c>
      <c r="H109" t="str">
        <f>IF(Expense_Input!I109="","Auto",Expense_Input!I109)</f>
        <v>Auto</v>
      </c>
      <c r="I109" t="str">
        <f>IF(F109="","",IFERROR(VLOOKUP(F109,Sales_Tax_Settings!$A$15:$B$27,2,FALSE),"Tax Unknown"))</f>
        <v/>
      </c>
      <c r="J109" t="str">
        <f t="shared" si="8"/>
        <v/>
      </c>
      <c r="K109" t="str">
        <f>IF(AND(Sales_Tax_Settings!$B$5="Yes",G109="Personal Expense",J109="Taxable"),"Yes","No")</f>
        <v>No</v>
      </c>
      <c r="L109" s="4">
        <f t="shared" si="9"/>
        <v>0</v>
      </c>
      <c r="M109" s="4">
        <f t="shared" si="10"/>
        <v>0</v>
      </c>
      <c r="N109" s="4">
        <f t="shared" si="11"/>
        <v>0</v>
      </c>
      <c r="O109" s="4">
        <f t="shared" si="12"/>
        <v>0</v>
      </c>
      <c r="P109" s="4">
        <f>IF(K109&lt;&gt;"Yes",0,IF(Sales_Tax_Settings!$B$6="Yes",E109/(1+Sales_Tax_Settings!$B$10),E109))</f>
        <v>0</v>
      </c>
      <c r="Q109" s="4">
        <f>IF(K109&lt;&gt;"Yes",0,P109*Sales_Tax_Settings!$B$8)</f>
        <v>0</v>
      </c>
      <c r="R109" s="4">
        <f>IF(K109&lt;&gt;"Yes",0,P109*Sales_Tax_Settings!$B$9)</f>
        <v>0</v>
      </c>
      <c r="S109" s="4">
        <f t="shared" si="13"/>
        <v>0</v>
      </c>
    </row>
    <row r="110" spans="1:19" x14ac:dyDescent="0.3">
      <c r="A110" t="str">
        <f>IF(Expense_Input!A110="","",Expense_Input!A110)</f>
        <v/>
      </c>
      <c r="B110" t="str">
        <f>IF(Expense_Input!B110="","",Expense_Input!B110)</f>
        <v/>
      </c>
      <c r="C110" t="str">
        <f t="shared" si="7"/>
        <v/>
      </c>
      <c r="D110" t="str">
        <f>IF(Expense_Input!C110="","",Expense_Input!C110)</f>
        <v/>
      </c>
      <c r="E110" s="4" t="str">
        <f>IF(Expense_Input!D110="","",Expense_Input!D110)</f>
        <v/>
      </c>
      <c r="F110" t="str">
        <f>IF(Expense_Input!E110="","",Expense_Input!E110)</f>
        <v/>
      </c>
      <c r="G110" t="str">
        <f>IF(Expense_Input!H110="","",Expense_Input!H110)</f>
        <v/>
      </c>
      <c r="H110" t="str">
        <f>IF(Expense_Input!I110="","Auto",Expense_Input!I110)</f>
        <v>Auto</v>
      </c>
      <c r="I110" t="str">
        <f>IF(F110="","",IFERROR(VLOOKUP(F110,Sales_Tax_Settings!$A$15:$B$27,2,FALSE),"Tax Unknown"))</f>
        <v/>
      </c>
      <c r="J110" t="str">
        <f t="shared" si="8"/>
        <v/>
      </c>
      <c r="K110" t="str">
        <f>IF(AND(Sales_Tax_Settings!$B$5="Yes",G110="Personal Expense",J110="Taxable"),"Yes","No")</f>
        <v>No</v>
      </c>
      <c r="L110" s="4">
        <f t="shared" si="9"/>
        <v>0</v>
      </c>
      <c r="M110" s="4">
        <f t="shared" si="10"/>
        <v>0</v>
      </c>
      <c r="N110" s="4">
        <f t="shared" si="11"/>
        <v>0</v>
      </c>
      <c r="O110" s="4">
        <f t="shared" si="12"/>
        <v>0</v>
      </c>
      <c r="P110" s="4">
        <f>IF(K110&lt;&gt;"Yes",0,IF(Sales_Tax_Settings!$B$6="Yes",E110/(1+Sales_Tax_Settings!$B$10),E110))</f>
        <v>0</v>
      </c>
      <c r="Q110" s="4">
        <f>IF(K110&lt;&gt;"Yes",0,P110*Sales_Tax_Settings!$B$8)</f>
        <v>0</v>
      </c>
      <c r="R110" s="4">
        <f>IF(K110&lt;&gt;"Yes",0,P110*Sales_Tax_Settings!$B$9)</f>
        <v>0</v>
      </c>
      <c r="S110" s="4">
        <f t="shared" si="13"/>
        <v>0</v>
      </c>
    </row>
    <row r="111" spans="1:19" x14ac:dyDescent="0.3">
      <c r="A111" t="str">
        <f>IF(Expense_Input!A111="","",Expense_Input!A111)</f>
        <v/>
      </c>
      <c r="B111" t="str">
        <f>IF(Expense_Input!B111="","",Expense_Input!B111)</f>
        <v/>
      </c>
      <c r="C111" t="str">
        <f t="shared" si="7"/>
        <v/>
      </c>
      <c r="D111" t="str">
        <f>IF(Expense_Input!C111="","",Expense_Input!C111)</f>
        <v/>
      </c>
      <c r="E111" s="4" t="str">
        <f>IF(Expense_Input!D111="","",Expense_Input!D111)</f>
        <v/>
      </c>
      <c r="F111" t="str">
        <f>IF(Expense_Input!E111="","",Expense_Input!E111)</f>
        <v/>
      </c>
      <c r="G111" t="str">
        <f>IF(Expense_Input!H111="","",Expense_Input!H111)</f>
        <v/>
      </c>
      <c r="H111" t="str">
        <f>IF(Expense_Input!I111="","Auto",Expense_Input!I111)</f>
        <v>Auto</v>
      </c>
      <c r="I111" t="str">
        <f>IF(F111="","",IFERROR(VLOOKUP(F111,Sales_Tax_Settings!$A$15:$B$27,2,FALSE),"Tax Unknown"))</f>
        <v/>
      </c>
      <c r="J111" t="str">
        <f t="shared" si="8"/>
        <v/>
      </c>
      <c r="K111" t="str">
        <f>IF(AND(Sales_Tax_Settings!$B$5="Yes",G111="Personal Expense",J111="Taxable"),"Yes","No")</f>
        <v>No</v>
      </c>
      <c r="L111" s="4">
        <f t="shared" si="9"/>
        <v>0</v>
      </c>
      <c r="M111" s="4">
        <f t="shared" si="10"/>
        <v>0</v>
      </c>
      <c r="N111" s="4">
        <f t="shared" si="11"/>
        <v>0</v>
      </c>
      <c r="O111" s="4">
        <f t="shared" si="12"/>
        <v>0</v>
      </c>
      <c r="P111" s="4">
        <f>IF(K111&lt;&gt;"Yes",0,IF(Sales_Tax_Settings!$B$6="Yes",E111/(1+Sales_Tax_Settings!$B$10),E111))</f>
        <v>0</v>
      </c>
      <c r="Q111" s="4">
        <f>IF(K111&lt;&gt;"Yes",0,P111*Sales_Tax_Settings!$B$8)</f>
        <v>0</v>
      </c>
      <c r="R111" s="4">
        <f>IF(K111&lt;&gt;"Yes",0,P111*Sales_Tax_Settings!$B$9)</f>
        <v>0</v>
      </c>
      <c r="S111" s="4">
        <f t="shared" si="13"/>
        <v>0</v>
      </c>
    </row>
    <row r="112" spans="1:19" x14ac:dyDescent="0.3">
      <c r="A112" t="str">
        <f>IF(Expense_Input!A112="","",Expense_Input!A112)</f>
        <v/>
      </c>
      <c r="B112" t="str">
        <f>IF(Expense_Input!B112="","",Expense_Input!B112)</f>
        <v/>
      </c>
      <c r="C112" t="str">
        <f t="shared" si="7"/>
        <v/>
      </c>
      <c r="D112" t="str">
        <f>IF(Expense_Input!C112="","",Expense_Input!C112)</f>
        <v/>
      </c>
      <c r="E112" s="4" t="str">
        <f>IF(Expense_Input!D112="","",Expense_Input!D112)</f>
        <v/>
      </c>
      <c r="F112" t="str">
        <f>IF(Expense_Input!E112="","",Expense_Input!E112)</f>
        <v/>
      </c>
      <c r="G112" t="str">
        <f>IF(Expense_Input!H112="","",Expense_Input!H112)</f>
        <v/>
      </c>
      <c r="H112" t="str">
        <f>IF(Expense_Input!I112="","Auto",Expense_Input!I112)</f>
        <v>Auto</v>
      </c>
      <c r="I112" t="str">
        <f>IF(F112="","",IFERROR(VLOOKUP(F112,Sales_Tax_Settings!$A$15:$B$27,2,FALSE),"Tax Unknown"))</f>
        <v/>
      </c>
      <c r="J112" t="str">
        <f t="shared" si="8"/>
        <v/>
      </c>
      <c r="K112" t="str">
        <f>IF(AND(Sales_Tax_Settings!$B$5="Yes",G112="Personal Expense",J112="Taxable"),"Yes","No")</f>
        <v>No</v>
      </c>
      <c r="L112" s="4">
        <f t="shared" si="9"/>
        <v>0</v>
      </c>
      <c r="M112" s="4">
        <f t="shared" si="10"/>
        <v>0</v>
      </c>
      <c r="N112" s="4">
        <f t="shared" si="11"/>
        <v>0</v>
      </c>
      <c r="O112" s="4">
        <f t="shared" si="12"/>
        <v>0</v>
      </c>
      <c r="P112" s="4">
        <f>IF(K112&lt;&gt;"Yes",0,IF(Sales_Tax_Settings!$B$6="Yes",E112/(1+Sales_Tax_Settings!$B$10),E112))</f>
        <v>0</v>
      </c>
      <c r="Q112" s="4">
        <f>IF(K112&lt;&gt;"Yes",0,P112*Sales_Tax_Settings!$B$8)</f>
        <v>0</v>
      </c>
      <c r="R112" s="4">
        <f>IF(K112&lt;&gt;"Yes",0,P112*Sales_Tax_Settings!$B$9)</f>
        <v>0</v>
      </c>
      <c r="S112" s="4">
        <f t="shared" si="13"/>
        <v>0</v>
      </c>
    </row>
    <row r="113" spans="1:19" x14ac:dyDescent="0.3">
      <c r="A113" t="str">
        <f>IF(Expense_Input!A113="","",Expense_Input!A113)</f>
        <v/>
      </c>
      <c r="B113" t="str">
        <f>IF(Expense_Input!B113="","",Expense_Input!B113)</f>
        <v/>
      </c>
      <c r="C113" t="str">
        <f t="shared" si="7"/>
        <v/>
      </c>
      <c r="D113" t="str">
        <f>IF(Expense_Input!C113="","",Expense_Input!C113)</f>
        <v/>
      </c>
      <c r="E113" s="4" t="str">
        <f>IF(Expense_Input!D113="","",Expense_Input!D113)</f>
        <v/>
      </c>
      <c r="F113" t="str">
        <f>IF(Expense_Input!E113="","",Expense_Input!E113)</f>
        <v/>
      </c>
      <c r="G113" t="str">
        <f>IF(Expense_Input!H113="","",Expense_Input!H113)</f>
        <v/>
      </c>
      <c r="H113" t="str">
        <f>IF(Expense_Input!I113="","Auto",Expense_Input!I113)</f>
        <v>Auto</v>
      </c>
      <c r="I113" t="str">
        <f>IF(F113="","",IFERROR(VLOOKUP(F113,Sales_Tax_Settings!$A$15:$B$27,2,FALSE),"Tax Unknown"))</f>
        <v/>
      </c>
      <c r="J113" t="str">
        <f t="shared" si="8"/>
        <v/>
      </c>
      <c r="K113" t="str">
        <f>IF(AND(Sales_Tax_Settings!$B$5="Yes",G113="Personal Expense",J113="Taxable"),"Yes","No")</f>
        <v>No</v>
      </c>
      <c r="L113" s="4">
        <f t="shared" si="9"/>
        <v>0</v>
      </c>
      <c r="M113" s="4">
        <f t="shared" si="10"/>
        <v>0</v>
      </c>
      <c r="N113" s="4">
        <f t="shared" si="11"/>
        <v>0</v>
      </c>
      <c r="O113" s="4">
        <f t="shared" si="12"/>
        <v>0</v>
      </c>
      <c r="P113" s="4">
        <f>IF(K113&lt;&gt;"Yes",0,IF(Sales_Tax_Settings!$B$6="Yes",E113/(1+Sales_Tax_Settings!$B$10),E113))</f>
        <v>0</v>
      </c>
      <c r="Q113" s="4">
        <f>IF(K113&lt;&gt;"Yes",0,P113*Sales_Tax_Settings!$B$8)</f>
        <v>0</v>
      </c>
      <c r="R113" s="4">
        <f>IF(K113&lt;&gt;"Yes",0,P113*Sales_Tax_Settings!$B$9)</f>
        <v>0</v>
      </c>
      <c r="S113" s="4">
        <f t="shared" si="13"/>
        <v>0</v>
      </c>
    </row>
    <row r="114" spans="1:19" x14ac:dyDescent="0.3">
      <c r="A114" t="str">
        <f>IF(Expense_Input!A114="","",Expense_Input!A114)</f>
        <v/>
      </c>
      <c r="B114" t="str">
        <f>IF(Expense_Input!B114="","",Expense_Input!B114)</f>
        <v/>
      </c>
      <c r="C114" t="str">
        <f t="shared" si="7"/>
        <v/>
      </c>
      <c r="D114" t="str">
        <f>IF(Expense_Input!C114="","",Expense_Input!C114)</f>
        <v/>
      </c>
      <c r="E114" s="4" t="str">
        <f>IF(Expense_Input!D114="","",Expense_Input!D114)</f>
        <v/>
      </c>
      <c r="F114" t="str">
        <f>IF(Expense_Input!E114="","",Expense_Input!E114)</f>
        <v/>
      </c>
      <c r="G114" t="str">
        <f>IF(Expense_Input!H114="","",Expense_Input!H114)</f>
        <v/>
      </c>
      <c r="H114" t="str">
        <f>IF(Expense_Input!I114="","Auto",Expense_Input!I114)</f>
        <v>Auto</v>
      </c>
      <c r="I114" t="str">
        <f>IF(F114="","",IFERROR(VLOOKUP(F114,Sales_Tax_Settings!$A$15:$B$27,2,FALSE),"Tax Unknown"))</f>
        <v/>
      </c>
      <c r="J114" t="str">
        <f t="shared" si="8"/>
        <v/>
      </c>
      <c r="K114" t="str">
        <f>IF(AND(Sales_Tax_Settings!$B$5="Yes",G114="Personal Expense",J114="Taxable"),"Yes","No")</f>
        <v>No</v>
      </c>
      <c r="L114" s="4">
        <f t="shared" si="9"/>
        <v>0</v>
      </c>
      <c r="M114" s="4">
        <f t="shared" si="10"/>
        <v>0</v>
      </c>
      <c r="N114" s="4">
        <f t="shared" si="11"/>
        <v>0</v>
      </c>
      <c r="O114" s="4">
        <f t="shared" si="12"/>
        <v>0</v>
      </c>
      <c r="P114" s="4">
        <f>IF(K114&lt;&gt;"Yes",0,IF(Sales_Tax_Settings!$B$6="Yes",E114/(1+Sales_Tax_Settings!$B$10),E114))</f>
        <v>0</v>
      </c>
      <c r="Q114" s="4">
        <f>IF(K114&lt;&gt;"Yes",0,P114*Sales_Tax_Settings!$B$8)</f>
        <v>0</v>
      </c>
      <c r="R114" s="4">
        <f>IF(K114&lt;&gt;"Yes",0,P114*Sales_Tax_Settings!$B$9)</f>
        <v>0</v>
      </c>
      <c r="S114" s="4">
        <f t="shared" si="13"/>
        <v>0</v>
      </c>
    </row>
    <row r="115" spans="1:19" x14ac:dyDescent="0.3">
      <c r="A115" t="str">
        <f>IF(Expense_Input!A115="","",Expense_Input!A115)</f>
        <v/>
      </c>
      <c r="B115" t="str">
        <f>IF(Expense_Input!B115="","",Expense_Input!B115)</f>
        <v/>
      </c>
      <c r="C115" t="str">
        <f t="shared" si="7"/>
        <v/>
      </c>
      <c r="D115" t="str">
        <f>IF(Expense_Input!C115="","",Expense_Input!C115)</f>
        <v/>
      </c>
      <c r="E115" s="4" t="str">
        <f>IF(Expense_Input!D115="","",Expense_Input!D115)</f>
        <v/>
      </c>
      <c r="F115" t="str">
        <f>IF(Expense_Input!E115="","",Expense_Input!E115)</f>
        <v/>
      </c>
      <c r="G115" t="str">
        <f>IF(Expense_Input!H115="","",Expense_Input!H115)</f>
        <v/>
      </c>
      <c r="H115" t="str">
        <f>IF(Expense_Input!I115="","Auto",Expense_Input!I115)</f>
        <v>Auto</v>
      </c>
      <c r="I115" t="str">
        <f>IF(F115="","",IFERROR(VLOOKUP(F115,Sales_Tax_Settings!$A$15:$B$27,2,FALSE),"Tax Unknown"))</f>
        <v/>
      </c>
      <c r="J115" t="str">
        <f t="shared" si="8"/>
        <v/>
      </c>
      <c r="K115" t="str">
        <f>IF(AND(Sales_Tax_Settings!$B$5="Yes",G115="Personal Expense",J115="Taxable"),"Yes","No")</f>
        <v>No</v>
      </c>
      <c r="L115" s="4">
        <f t="shared" si="9"/>
        <v>0</v>
      </c>
      <c r="M115" s="4">
        <f t="shared" si="10"/>
        <v>0</v>
      </c>
      <c r="N115" s="4">
        <f t="shared" si="11"/>
        <v>0</v>
      </c>
      <c r="O115" s="4">
        <f t="shared" si="12"/>
        <v>0</v>
      </c>
      <c r="P115" s="4">
        <f>IF(K115&lt;&gt;"Yes",0,IF(Sales_Tax_Settings!$B$6="Yes",E115/(1+Sales_Tax_Settings!$B$10),E115))</f>
        <v>0</v>
      </c>
      <c r="Q115" s="4">
        <f>IF(K115&lt;&gt;"Yes",0,P115*Sales_Tax_Settings!$B$8)</f>
        <v>0</v>
      </c>
      <c r="R115" s="4">
        <f>IF(K115&lt;&gt;"Yes",0,P115*Sales_Tax_Settings!$B$9)</f>
        <v>0</v>
      </c>
      <c r="S115" s="4">
        <f t="shared" si="13"/>
        <v>0</v>
      </c>
    </row>
    <row r="116" spans="1:19" x14ac:dyDescent="0.3">
      <c r="A116" t="str">
        <f>IF(Expense_Input!A116="","",Expense_Input!A116)</f>
        <v/>
      </c>
      <c r="B116" t="str">
        <f>IF(Expense_Input!B116="","",Expense_Input!B116)</f>
        <v/>
      </c>
      <c r="C116" t="str">
        <f t="shared" si="7"/>
        <v/>
      </c>
      <c r="D116" t="str">
        <f>IF(Expense_Input!C116="","",Expense_Input!C116)</f>
        <v/>
      </c>
      <c r="E116" s="4" t="str">
        <f>IF(Expense_Input!D116="","",Expense_Input!D116)</f>
        <v/>
      </c>
      <c r="F116" t="str">
        <f>IF(Expense_Input!E116="","",Expense_Input!E116)</f>
        <v/>
      </c>
      <c r="G116" t="str">
        <f>IF(Expense_Input!H116="","",Expense_Input!H116)</f>
        <v/>
      </c>
      <c r="H116" t="str">
        <f>IF(Expense_Input!I116="","Auto",Expense_Input!I116)</f>
        <v>Auto</v>
      </c>
      <c r="I116" t="str">
        <f>IF(F116="","",IFERROR(VLOOKUP(F116,Sales_Tax_Settings!$A$15:$B$27,2,FALSE),"Tax Unknown"))</f>
        <v/>
      </c>
      <c r="J116" t="str">
        <f t="shared" si="8"/>
        <v/>
      </c>
      <c r="K116" t="str">
        <f>IF(AND(Sales_Tax_Settings!$B$5="Yes",G116="Personal Expense",J116="Taxable"),"Yes","No")</f>
        <v>No</v>
      </c>
      <c r="L116" s="4">
        <f t="shared" si="9"/>
        <v>0</v>
      </c>
      <c r="M116" s="4">
        <f t="shared" si="10"/>
        <v>0</v>
      </c>
      <c r="N116" s="4">
        <f t="shared" si="11"/>
        <v>0</v>
      </c>
      <c r="O116" s="4">
        <f t="shared" si="12"/>
        <v>0</v>
      </c>
      <c r="P116" s="4">
        <f>IF(K116&lt;&gt;"Yes",0,IF(Sales_Tax_Settings!$B$6="Yes",E116/(1+Sales_Tax_Settings!$B$10),E116))</f>
        <v>0</v>
      </c>
      <c r="Q116" s="4">
        <f>IF(K116&lt;&gt;"Yes",0,P116*Sales_Tax_Settings!$B$8)</f>
        <v>0</v>
      </c>
      <c r="R116" s="4">
        <f>IF(K116&lt;&gt;"Yes",0,P116*Sales_Tax_Settings!$B$9)</f>
        <v>0</v>
      </c>
      <c r="S116" s="4">
        <f t="shared" si="13"/>
        <v>0</v>
      </c>
    </row>
    <row r="117" spans="1:19" x14ac:dyDescent="0.3">
      <c r="A117" t="str">
        <f>IF(Expense_Input!A117="","",Expense_Input!A117)</f>
        <v/>
      </c>
      <c r="B117" t="str">
        <f>IF(Expense_Input!B117="","",Expense_Input!B117)</f>
        <v/>
      </c>
      <c r="C117" t="str">
        <f t="shared" si="7"/>
        <v/>
      </c>
      <c r="D117" t="str">
        <f>IF(Expense_Input!C117="","",Expense_Input!C117)</f>
        <v/>
      </c>
      <c r="E117" s="4" t="str">
        <f>IF(Expense_Input!D117="","",Expense_Input!D117)</f>
        <v/>
      </c>
      <c r="F117" t="str">
        <f>IF(Expense_Input!E117="","",Expense_Input!E117)</f>
        <v/>
      </c>
      <c r="G117" t="str">
        <f>IF(Expense_Input!H117="","",Expense_Input!H117)</f>
        <v/>
      </c>
      <c r="H117" t="str">
        <f>IF(Expense_Input!I117="","Auto",Expense_Input!I117)</f>
        <v>Auto</v>
      </c>
      <c r="I117" t="str">
        <f>IF(F117="","",IFERROR(VLOOKUP(F117,Sales_Tax_Settings!$A$15:$B$27,2,FALSE),"Tax Unknown"))</f>
        <v/>
      </c>
      <c r="J117" t="str">
        <f t="shared" si="8"/>
        <v/>
      </c>
      <c r="K117" t="str">
        <f>IF(AND(Sales_Tax_Settings!$B$5="Yes",G117="Personal Expense",J117="Taxable"),"Yes","No")</f>
        <v>No</v>
      </c>
      <c r="L117" s="4">
        <f t="shared" si="9"/>
        <v>0</v>
      </c>
      <c r="M117" s="4">
        <f t="shared" si="10"/>
        <v>0</v>
      </c>
      <c r="N117" s="4">
        <f t="shared" si="11"/>
        <v>0</v>
      </c>
      <c r="O117" s="4">
        <f t="shared" si="12"/>
        <v>0</v>
      </c>
      <c r="P117" s="4">
        <f>IF(K117&lt;&gt;"Yes",0,IF(Sales_Tax_Settings!$B$6="Yes",E117/(1+Sales_Tax_Settings!$B$10),E117))</f>
        <v>0</v>
      </c>
      <c r="Q117" s="4">
        <f>IF(K117&lt;&gt;"Yes",0,P117*Sales_Tax_Settings!$B$8)</f>
        <v>0</v>
      </c>
      <c r="R117" s="4">
        <f>IF(K117&lt;&gt;"Yes",0,P117*Sales_Tax_Settings!$B$9)</f>
        <v>0</v>
      </c>
      <c r="S117" s="4">
        <f t="shared" si="13"/>
        <v>0</v>
      </c>
    </row>
    <row r="118" spans="1:19" x14ac:dyDescent="0.3">
      <c r="A118" t="str">
        <f>IF(Expense_Input!A118="","",Expense_Input!A118)</f>
        <v/>
      </c>
      <c r="B118" t="str">
        <f>IF(Expense_Input!B118="","",Expense_Input!B118)</f>
        <v/>
      </c>
      <c r="C118" t="str">
        <f t="shared" si="7"/>
        <v/>
      </c>
      <c r="D118" t="str">
        <f>IF(Expense_Input!C118="","",Expense_Input!C118)</f>
        <v/>
      </c>
      <c r="E118" s="4" t="str">
        <f>IF(Expense_Input!D118="","",Expense_Input!D118)</f>
        <v/>
      </c>
      <c r="F118" t="str">
        <f>IF(Expense_Input!E118="","",Expense_Input!E118)</f>
        <v/>
      </c>
      <c r="G118" t="str">
        <f>IF(Expense_Input!H118="","",Expense_Input!H118)</f>
        <v/>
      </c>
      <c r="H118" t="str">
        <f>IF(Expense_Input!I118="","Auto",Expense_Input!I118)</f>
        <v>Auto</v>
      </c>
      <c r="I118" t="str">
        <f>IF(F118="","",IFERROR(VLOOKUP(F118,Sales_Tax_Settings!$A$15:$B$27,2,FALSE),"Tax Unknown"))</f>
        <v/>
      </c>
      <c r="J118" t="str">
        <f t="shared" si="8"/>
        <v/>
      </c>
      <c r="K118" t="str">
        <f>IF(AND(Sales_Tax_Settings!$B$5="Yes",G118="Personal Expense",J118="Taxable"),"Yes","No")</f>
        <v>No</v>
      </c>
      <c r="L118" s="4">
        <f t="shared" si="9"/>
        <v>0</v>
      </c>
      <c r="M118" s="4">
        <f t="shared" si="10"/>
        <v>0</v>
      </c>
      <c r="N118" s="4">
        <f t="shared" si="11"/>
        <v>0</v>
      </c>
      <c r="O118" s="4">
        <f t="shared" si="12"/>
        <v>0</v>
      </c>
      <c r="P118" s="4">
        <f>IF(K118&lt;&gt;"Yes",0,IF(Sales_Tax_Settings!$B$6="Yes",E118/(1+Sales_Tax_Settings!$B$10),E118))</f>
        <v>0</v>
      </c>
      <c r="Q118" s="4">
        <f>IF(K118&lt;&gt;"Yes",0,P118*Sales_Tax_Settings!$B$8)</f>
        <v>0</v>
      </c>
      <c r="R118" s="4">
        <f>IF(K118&lt;&gt;"Yes",0,P118*Sales_Tax_Settings!$B$9)</f>
        <v>0</v>
      </c>
      <c r="S118" s="4">
        <f t="shared" si="13"/>
        <v>0</v>
      </c>
    </row>
    <row r="119" spans="1:19" x14ac:dyDescent="0.3">
      <c r="A119" t="str">
        <f>IF(Expense_Input!A119="","",Expense_Input!A119)</f>
        <v/>
      </c>
      <c r="B119" t="str">
        <f>IF(Expense_Input!B119="","",Expense_Input!B119)</f>
        <v/>
      </c>
      <c r="C119" t="str">
        <f t="shared" si="7"/>
        <v/>
      </c>
      <c r="D119" t="str">
        <f>IF(Expense_Input!C119="","",Expense_Input!C119)</f>
        <v/>
      </c>
      <c r="E119" s="4" t="str">
        <f>IF(Expense_Input!D119="","",Expense_Input!D119)</f>
        <v/>
      </c>
      <c r="F119" t="str">
        <f>IF(Expense_Input!E119="","",Expense_Input!E119)</f>
        <v/>
      </c>
      <c r="G119" t="str">
        <f>IF(Expense_Input!H119="","",Expense_Input!H119)</f>
        <v/>
      </c>
      <c r="H119" t="str">
        <f>IF(Expense_Input!I119="","Auto",Expense_Input!I119)</f>
        <v>Auto</v>
      </c>
      <c r="I119" t="str">
        <f>IF(F119="","",IFERROR(VLOOKUP(F119,Sales_Tax_Settings!$A$15:$B$27,2,FALSE),"Tax Unknown"))</f>
        <v/>
      </c>
      <c r="J119" t="str">
        <f t="shared" si="8"/>
        <v/>
      </c>
      <c r="K119" t="str">
        <f>IF(AND(Sales_Tax_Settings!$B$5="Yes",G119="Personal Expense",J119="Taxable"),"Yes","No")</f>
        <v>No</v>
      </c>
      <c r="L119" s="4">
        <f t="shared" si="9"/>
        <v>0</v>
      </c>
      <c r="M119" s="4">
        <f t="shared" si="10"/>
        <v>0</v>
      </c>
      <c r="N119" s="4">
        <f t="shared" si="11"/>
        <v>0</v>
      </c>
      <c r="O119" s="4">
        <f t="shared" si="12"/>
        <v>0</v>
      </c>
      <c r="P119" s="4">
        <f>IF(K119&lt;&gt;"Yes",0,IF(Sales_Tax_Settings!$B$6="Yes",E119/(1+Sales_Tax_Settings!$B$10),E119))</f>
        <v>0</v>
      </c>
      <c r="Q119" s="4">
        <f>IF(K119&lt;&gt;"Yes",0,P119*Sales_Tax_Settings!$B$8)</f>
        <v>0</v>
      </c>
      <c r="R119" s="4">
        <f>IF(K119&lt;&gt;"Yes",0,P119*Sales_Tax_Settings!$B$9)</f>
        <v>0</v>
      </c>
      <c r="S119" s="4">
        <f t="shared" si="13"/>
        <v>0</v>
      </c>
    </row>
    <row r="120" spans="1:19" x14ac:dyDescent="0.3">
      <c r="A120" t="str">
        <f>IF(Expense_Input!A120="","",Expense_Input!A120)</f>
        <v/>
      </c>
      <c r="B120" t="str">
        <f>IF(Expense_Input!B120="","",Expense_Input!B120)</f>
        <v/>
      </c>
      <c r="C120" t="str">
        <f t="shared" si="7"/>
        <v/>
      </c>
      <c r="D120" t="str">
        <f>IF(Expense_Input!C120="","",Expense_Input!C120)</f>
        <v/>
      </c>
      <c r="E120" s="4" t="str">
        <f>IF(Expense_Input!D120="","",Expense_Input!D120)</f>
        <v/>
      </c>
      <c r="F120" t="str">
        <f>IF(Expense_Input!E120="","",Expense_Input!E120)</f>
        <v/>
      </c>
      <c r="G120" t="str">
        <f>IF(Expense_Input!H120="","",Expense_Input!H120)</f>
        <v/>
      </c>
      <c r="H120" t="str">
        <f>IF(Expense_Input!I120="","Auto",Expense_Input!I120)</f>
        <v>Auto</v>
      </c>
      <c r="I120" t="str">
        <f>IF(F120="","",IFERROR(VLOOKUP(F120,Sales_Tax_Settings!$A$15:$B$27,2,FALSE),"Tax Unknown"))</f>
        <v/>
      </c>
      <c r="J120" t="str">
        <f t="shared" si="8"/>
        <v/>
      </c>
      <c r="K120" t="str">
        <f>IF(AND(Sales_Tax_Settings!$B$5="Yes",G120="Personal Expense",J120="Taxable"),"Yes","No")</f>
        <v>No</v>
      </c>
      <c r="L120" s="4">
        <f t="shared" si="9"/>
        <v>0</v>
      </c>
      <c r="M120" s="4">
        <f t="shared" si="10"/>
        <v>0</v>
      </c>
      <c r="N120" s="4">
        <f t="shared" si="11"/>
        <v>0</v>
      </c>
      <c r="O120" s="4">
        <f t="shared" si="12"/>
        <v>0</v>
      </c>
      <c r="P120" s="4">
        <f>IF(K120&lt;&gt;"Yes",0,IF(Sales_Tax_Settings!$B$6="Yes",E120/(1+Sales_Tax_Settings!$B$10),E120))</f>
        <v>0</v>
      </c>
      <c r="Q120" s="4">
        <f>IF(K120&lt;&gt;"Yes",0,P120*Sales_Tax_Settings!$B$8)</f>
        <v>0</v>
      </c>
      <c r="R120" s="4">
        <f>IF(K120&lt;&gt;"Yes",0,P120*Sales_Tax_Settings!$B$9)</f>
        <v>0</v>
      </c>
      <c r="S120" s="4">
        <f t="shared" si="13"/>
        <v>0</v>
      </c>
    </row>
    <row r="121" spans="1:19" x14ac:dyDescent="0.3">
      <c r="A121" t="str">
        <f>IF(Expense_Input!A121="","",Expense_Input!A121)</f>
        <v/>
      </c>
      <c r="B121" t="str">
        <f>IF(Expense_Input!B121="","",Expense_Input!B121)</f>
        <v/>
      </c>
      <c r="C121" t="str">
        <f t="shared" si="7"/>
        <v/>
      </c>
      <c r="D121" t="str">
        <f>IF(Expense_Input!C121="","",Expense_Input!C121)</f>
        <v/>
      </c>
      <c r="E121" s="4" t="str">
        <f>IF(Expense_Input!D121="","",Expense_Input!D121)</f>
        <v/>
      </c>
      <c r="F121" t="str">
        <f>IF(Expense_Input!E121="","",Expense_Input!E121)</f>
        <v/>
      </c>
      <c r="G121" t="str">
        <f>IF(Expense_Input!H121="","",Expense_Input!H121)</f>
        <v/>
      </c>
      <c r="H121" t="str">
        <f>IF(Expense_Input!I121="","Auto",Expense_Input!I121)</f>
        <v>Auto</v>
      </c>
      <c r="I121" t="str">
        <f>IF(F121="","",IFERROR(VLOOKUP(F121,Sales_Tax_Settings!$A$15:$B$27,2,FALSE),"Tax Unknown"))</f>
        <v/>
      </c>
      <c r="J121" t="str">
        <f t="shared" si="8"/>
        <v/>
      </c>
      <c r="K121" t="str">
        <f>IF(AND(Sales_Tax_Settings!$B$5="Yes",G121="Personal Expense",J121="Taxable"),"Yes","No")</f>
        <v>No</v>
      </c>
      <c r="L121" s="4">
        <f t="shared" si="9"/>
        <v>0</v>
      </c>
      <c r="M121" s="4">
        <f t="shared" si="10"/>
        <v>0</v>
      </c>
      <c r="N121" s="4">
        <f t="shared" si="11"/>
        <v>0</v>
      </c>
      <c r="O121" s="4">
        <f t="shared" si="12"/>
        <v>0</v>
      </c>
      <c r="P121" s="4">
        <f>IF(K121&lt;&gt;"Yes",0,IF(Sales_Tax_Settings!$B$6="Yes",E121/(1+Sales_Tax_Settings!$B$10),E121))</f>
        <v>0</v>
      </c>
      <c r="Q121" s="4">
        <f>IF(K121&lt;&gt;"Yes",0,P121*Sales_Tax_Settings!$B$8)</f>
        <v>0</v>
      </c>
      <c r="R121" s="4">
        <f>IF(K121&lt;&gt;"Yes",0,P121*Sales_Tax_Settings!$B$9)</f>
        <v>0</v>
      </c>
      <c r="S121" s="4">
        <f t="shared" si="13"/>
        <v>0</v>
      </c>
    </row>
    <row r="122" spans="1:19" x14ac:dyDescent="0.3">
      <c r="A122" t="str">
        <f>IF(Expense_Input!A122="","",Expense_Input!A122)</f>
        <v/>
      </c>
      <c r="B122" t="str">
        <f>IF(Expense_Input!B122="","",Expense_Input!B122)</f>
        <v/>
      </c>
      <c r="C122" t="str">
        <f t="shared" si="7"/>
        <v/>
      </c>
      <c r="D122" t="str">
        <f>IF(Expense_Input!C122="","",Expense_Input!C122)</f>
        <v/>
      </c>
      <c r="E122" s="4" t="str">
        <f>IF(Expense_Input!D122="","",Expense_Input!D122)</f>
        <v/>
      </c>
      <c r="F122" t="str">
        <f>IF(Expense_Input!E122="","",Expense_Input!E122)</f>
        <v/>
      </c>
      <c r="G122" t="str">
        <f>IF(Expense_Input!H122="","",Expense_Input!H122)</f>
        <v/>
      </c>
      <c r="H122" t="str">
        <f>IF(Expense_Input!I122="","Auto",Expense_Input!I122)</f>
        <v>Auto</v>
      </c>
      <c r="I122" t="str">
        <f>IF(F122="","",IFERROR(VLOOKUP(F122,Sales_Tax_Settings!$A$15:$B$27,2,FALSE),"Tax Unknown"))</f>
        <v/>
      </c>
      <c r="J122" t="str">
        <f t="shared" si="8"/>
        <v/>
      </c>
      <c r="K122" t="str">
        <f>IF(AND(Sales_Tax_Settings!$B$5="Yes",G122="Personal Expense",J122="Taxable"),"Yes","No")</f>
        <v>No</v>
      </c>
      <c r="L122" s="4">
        <f t="shared" si="9"/>
        <v>0</v>
      </c>
      <c r="M122" s="4">
        <f t="shared" si="10"/>
        <v>0</v>
      </c>
      <c r="N122" s="4">
        <f t="shared" si="11"/>
        <v>0</v>
      </c>
      <c r="O122" s="4">
        <f t="shared" si="12"/>
        <v>0</v>
      </c>
      <c r="P122" s="4">
        <f>IF(K122&lt;&gt;"Yes",0,IF(Sales_Tax_Settings!$B$6="Yes",E122/(1+Sales_Tax_Settings!$B$10),E122))</f>
        <v>0</v>
      </c>
      <c r="Q122" s="4">
        <f>IF(K122&lt;&gt;"Yes",0,P122*Sales_Tax_Settings!$B$8)</f>
        <v>0</v>
      </c>
      <c r="R122" s="4">
        <f>IF(K122&lt;&gt;"Yes",0,P122*Sales_Tax_Settings!$B$9)</f>
        <v>0</v>
      </c>
      <c r="S122" s="4">
        <f t="shared" si="13"/>
        <v>0</v>
      </c>
    </row>
    <row r="123" spans="1:19" x14ac:dyDescent="0.3">
      <c r="A123" t="str">
        <f>IF(Expense_Input!A123="","",Expense_Input!A123)</f>
        <v/>
      </c>
      <c r="B123" t="str">
        <f>IF(Expense_Input!B123="","",Expense_Input!B123)</f>
        <v/>
      </c>
      <c r="C123" t="str">
        <f t="shared" si="7"/>
        <v/>
      </c>
      <c r="D123" t="str">
        <f>IF(Expense_Input!C123="","",Expense_Input!C123)</f>
        <v/>
      </c>
      <c r="E123" s="4" t="str">
        <f>IF(Expense_Input!D123="","",Expense_Input!D123)</f>
        <v/>
      </c>
      <c r="F123" t="str">
        <f>IF(Expense_Input!E123="","",Expense_Input!E123)</f>
        <v/>
      </c>
      <c r="G123" t="str">
        <f>IF(Expense_Input!H123="","",Expense_Input!H123)</f>
        <v/>
      </c>
      <c r="H123" t="str">
        <f>IF(Expense_Input!I123="","Auto",Expense_Input!I123)</f>
        <v>Auto</v>
      </c>
      <c r="I123" t="str">
        <f>IF(F123="","",IFERROR(VLOOKUP(F123,Sales_Tax_Settings!$A$15:$B$27,2,FALSE),"Tax Unknown"))</f>
        <v/>
      </c>
      <c r="J123" t="str">
        <f t="shared" si="8"/>
        <v/>
      </c>
      <c r="K123" t="str">
        <f>IF(AND(Sales_Tax_Settings!$B$5="Yes",G123="Personal Expense",J123="Taxable"),"Yes","No")</f>
        <v>No</v>
      </c>
      <c r="L123" s="4">
        <f t="shared" si="9"/>
        <v>0</v>
      </c>
      <c r="M123" s="4">
        <f t="shared" si="10"/>
        <v>0</v>
      </c>
      <c r="N123" s="4">
        <f t="shared" si="11"/>
        <v>0</v>
      </c>
      <c r="O123" s="4">
        <f t="shared" si="12"/>
        <v>0</v>
      </c>
      <c r="P123" s="4">
        <f>IF(K123&lt;&gt;"Yes",0,IF(Sales_Tax_Settings!$B$6="Yes",E123/(1+Sales_Tax_Settings!$B$10),E123))</f>
        <v>0</v>
      </c>
      <c r="Q123" s="4">
        <f>IF(K123&lt;&gt;"Yes",0,P123*Sales_Tax_Settings!$B$8)</f>
        <v>0</v>
      </c>
      <c r="R123" s="4">
        <f>IF(K123&lt;&gt;"Yes",0,P123*Sales_Tax_Settings!$B$9)</f>
        <v>0</v>
      </c>
      <c r="S123" s="4">
        <f t="shared" si="13"/>
        <v>0</v>
      </c>
    </row>
    <row r="124" spans="1:19" x14ac:dyDescent="0.3">
      <c r="A124" t="str">
        <f>IF(Expense_Input!A124="","",Expense_Input!A124)</f>
        <v/>
      </c>
      <c r="B124" t="str">
        <f>IF(Expense_Input!B124="","",Expense_Input!B124)</f>
        <v/>
      </c>
      <c r="C124" t="str">
        <f t="shared" si="7"/>
        <v/>
      </c>
      <c r="D124" t="str">
        <f>IF(Expense_Input!C124="","",Expense_Input!C124)</f>
        <v/>
      </c>
      <c r="E124" s="4" t="str">
        <f>IF(Expense_Input!D124="","",Expense_Input!D124)</f>
        <v/>
      </c>
      <c r="F124" t="str">
        <f>IF(Expense_Input!E124="","",Expense_Input!E124)</f>
        <v/>
      </c>
      <c r="G124" t="str">
        <f>IF(Expense_Input!H124="","",Expense_Input!H124)</f>
        <v/>
      </c>
      <c r="H124" t="str">
        <f>IF(Expense_Input!I124="","Auto",Expense_Input!I124)</f>
        <v>Auto</v>
      </c>
      <c r="I124" t="str">
        <f>IF(F124="","",IFERROR(VLOOKUP(F124,Sales_Tax_Settings!$A$15:$B$27,2,FALSE),"Tax Unknown"))</f>
        <v/>
      </c>
      <c r="J124" t="str">
        <f t="shared" si="8"/>
        <v/>
      </c>
      <c r="K124" t="str">
        <f>IF(AND(Sales_Tax_Settings!$B$5="Yes",G124="Personal Expense",J124="Taxable"),"Yes","No")</f>
        <v>No</v>
      </c>
      <c r="L124" s="4">
        <f t="shared" si="9"/>
        <v>0</v>
      </c>
      <c r="M124" s="4">
        <f t="shared" si="10"/>
        <v>0</v>
      </c>
      <c r="N124" s="4">
        <f t="shared" si="11"/>
        <v>0</v>
      </c>
      <c r="O124" s="4">
        <f t="shared" si="12"/>
        <v>0</v>
      </c>
      <c r="P124" s="4">
        <f>IF(K124&lt;&gt;"Yes",0,IF(Sales_Tax_Settings!$B$6="Yes",E124/(1+Sales_Tax_Settings!$B$10),E124))</f>
        <v>0</v>
      </c>
      <c r="Q124" s="4">
        <f>IF(K124&lt;&gt;"Yes",0,P124*Sales_Tax_Settings!$B$8)</f>
        <v>0</v>
      </c>
      <c r="R124" s="4">
        <f>IF(K124&lt;&gt;"Yes",0,P124*Sales_Tax_Settings!$B$9)</f>
        <v>0</v>
      </c>
      <c r="S124" s="4">
        <f t="shared" si="13"/>
        <v>0</v>
      </c>
    </row>
    <row r="125" spans="1:19" x14ac:dyDescent="0.3">
      <c r="A125" t="str">
        <f>IF(Expense_Input!A125="","",Expense_Input!A125)</f>
        <v/>
      </c>
      <c r="B125" t="str">
        <f>IF(Expense_Input!B125="","",Expense_Input!B125)</f>
        <v/>
      </c>
      <c r="C125" t="str">
        <f t="shared" si="7"/>
        <v/>
      </c>
      <c r="D125" t="str">
        <f>IF(Expense_Input!C125="","",Expense_Input!C125)</f>
        <v/>
      </c>
      <c r="E125" s="4" t="str">
        <f>IF(Expense_Input!D125="","",Expense_Input!D125)</f>
        <v/>
      </c>
      <c r="F125" t="str">
        <f>IF(Expense_Input!E125="","",Expense_Input!E125)</f>
        <v/>
      </c>
      <c r="G125" t="str">
        <f>IF(Expense_Input!H125="","",Expense_Input!H125)</f>
        <v/>
      </c>
      <c r="H125" t="str">
        <f>IF(Expense_Input!I125="","Auto",Expense_Input!I125)</f>
        <v>Auto</v>
      </c>
      <c r="I125" t="str">
        <f>IF(F125="","",IFERROR(VLOOKUP(F125,Sales_Tax_Settings!$A$15:$B$27,2,FALSE),"Tax Unknown"))</f>
        <v/>
      </c>
      <c r="J125" t="str">
        <f t="shared" si="8"/>
        <v/>
      </c>
      <c r="K125" t="str">
        <f>IF(AND(Sales_Tax_Settings!$B$5="Yes",G125="Personal Expense",J125="Taxable"),"Yes","No")</f>
        <v>No</v>
      </c>
      <c r="L125" s="4">
        <f t="shared" si="9"/>
        <v>0</v>
      </c>
      <c r="M125" s="4">
        <f t="shared" si="10"/>
        <v>0</v>
      </c>
      <c r="N125" s="4">
        <f t="shared" si="11"/>
        <v>0</v>
      </c>
      <c r="O125" s="4">
        <f t="shared" si="12"/>
        <v>0</v>
      </c>
      <c r="P125" s="4">
        <f>IF(K125&lt;&gt;"Yes",0,IF(Sales_Tax_Settings!$B$6="Yes",E125/(1+Sales_Tax_Settings!$B$10),E125))</f>
        <v>0</v>
      </c>
      <c r="Q125" s="4">
        <f>IF(K125&lt;&gt;"Yes",0,P125*Sales_Tax_Settings!$B$8)</f>
        <v>0</v>
      </c>
      <c r="R125" s="4">
        <f>IF(K125&lt;&gt;"Yes",0,P125*Sales_Tax_Settings!$B$9)</f>
        <v>0</v>
      </c>
      <c r="S125" s="4">
        <f t="shared" si="13"/>
        <v>0</v>
      </c>
    </row>
    <row r="126" spans="1:19" x14ac:dyDescent="0.3">
      <c r="A126" t="str">
        <f>IF(Expense_Input!A126="","",Expense_Input!A126)</f>
        <v/>
      </c>
      <c r="B126" t="str">
        <f>IF(Expense_Input!B126="","",Expense_Input!B126)</f>
        <v/>
      </c>
      <c r="C126" t="str">
        <f t="shared" si="7"/>
        <v/>
      </c>
      <c r="D126" t="str">
        <f>IF(Expense_Input!C126="","",Expense_Input!C126)</f>
        <v/>
      </c>
      <c r="E126" s="4" t="str">
        <f>IF(Expense_Input!D126="","",Expense_Input!D126)</f>
        <v/>
      </c>
      <c r="F126" t="str">
        <f>IF(Expense_Input!E126="","",Expense_Input!E126)</f>
        <v/>
      </c>
      <c r="G126" t="str">
        <f>IF(Expense_Input!H126="","",Expense_Input!H126)</f>
        <v/>
      </c>
      <c r="H126" t="str">
        <f>IF(Expense_Input!I126="","Auto",Expense_Input!I126)</f>
        <v>Auto</v>
      </c>
      <c r="I126" t="str">
        <f>IF(F126="","",IFERROR(VLOOKUP(F126,Sales_Tax_Settings!$A$15:$B$27,2,FALSE),"Tax Unknown"))</f>
        <v/>
      </c>
      <c r="J126" t="str">
        <f t="shared" si="8"/>
        <v/>
      </c>
      <c r="K126" t="str">
        <f>IF(AND(Sales_Tax_Settings!$B$5="Yes",G126="Personal Expense",J126="Taxable"),"Yes","No")</f>
        <v>No</v>
      </c>
      <c r="L126" s="4">
        <f t="shared" si="9"/>
        <v>0</v>
      </c>
      <c r="M126" s="4">
        <f t="shared" si="10"/>
        <v>0</v>
      </c>
      <c r="N126" s="4">
        <f t="shared" si="11"/>
        <v>0</v>
      </c>
      <c r="O126" s="4">
        <f t="shared" si="12"/>
        <v>0</v>
      </c>
      <c r="P126" s="4">
        <f>IF(K126&lt;&gt;"Yes",0,IF(Sales_Tax_Settings!$B$6="Yes",E126/(1+Sales_Tax_Settings!$B$10),E126))</f>
        <v>0</v>
      </c>
      <c r="Q126" s="4">
        <f>IF(K126&lt;&gt;"Yes",0,P126*Sales_Tax_Settings!$B$8)</f>
        <v>0</v>
      </c>
      <c r="R126" s="4">
        <f>IF(K126&lt;&gt;"Yes",0,P126*Sales_Tax_Settings!$B$9)</f>
        <v>0</v>
      </c>
      <c r="S126" s="4">
        <f t="shared" si="13"/>
        <v>0</v>
      </c>
    </row>
    <row r="127" spans="1:19" x14ac:dyDescent="0.3">
      <c r="A127" t="str">
        <f>IF(Expense_Input!A127="","",Expense_Input!A127)</f>
        <v/>
      </c>
      <c r="B127" t="str">
        <f>IF(Expense_Input!B127="","",Expense_Input!B127)</f>
        <v/>
      </c>
      <c r="C127" t="str">
        <f t="shared" si="7"/>
        <v/>
      </c>
      <c r="D127" t="str">
        <f>IF(Expense_Input!C127="","",Expense_Input!C127)</f>
        <v/>
      </c>
      <c r="E127" s="4" t="str">
        <f>IF(Expense_Input!D127="","",Expense_Input!D127)</f>
        <v/>
      </c>
      <c r="F127" t="str">
        <f>IF(Expense_Input!E127="","",Expense_Input!E127)</f>
        <v/>
      </c>
      <c r="G127" t="str">
        <f>IF(Expense_Input!H127="","",Expense_Input!H127)</f>
        <v/>
      </c>
      <c r="H127" t="str">
        <f>IF(Expense_Input!I127="","Auto",Expense_Input!I127)</f>
        <v>Auto</v>
      </c>
      <c r="I127" t="str">
        <f>IF(F127="","",IFERROR(VLOOKUP(F127,Sales_Tax_Settings!$A$15:$B$27,2,FALSE),"Tax Unknown"))</f>
        <v/>
      </c>
      <c r="J127" t="str">
        <f t="shared" si="8"/>
        <v/>
      </c>
      <c r="K127" t="str">
        <f>IF(AND(Sales_Tax_Settings!$B$5="Yes",G127="Personal Expense",J127="Taxable"),"Yes","No")</f>
        <v>No</v>
      </c>
      <c r="L127" s="4">
        <f t="shared" si="9"/>
        <v>0</v>
      </c>
      <c r="M127" s="4">
        <f t="shared" si="10"/>
        <v>0</v>
      </c>
      <c r="N127" s="4">
        <f t="shared" si="11"/>
        <v>0</v>
      </c>
      <c r="O127" s="4">
        <f t="shared" si="12"/>
        <v>0</v>
      </c>
      <c r="P127" s="4">
        <f>IF(K127&lt;&gt;"Yes",0,IF(Sales_Tax_Settings!$B$6="Yes",E127/(1+Sales_Tax_Settings!$B$10),E127))</f>
        <v>0</v>
      </c>
      <c r="Q127" s="4">
        <f>IF(K127&lt;&gt;"Yes",0,P127*Sales_Tax_Settings!$B$8)</f>
        <v>0</v>
      </c>
      <c r="R127" s="4">
        <f>IF(K127&lt;&gt;"Yes",0,P127*Sales_Tax_Settings!$B$9)</f>
        <v>0</v>
      </c>
      <c r="S127" s="4">
        <f t="shared" si="13"/>
        <v>0</v>
      </c>
    </row>
    <row r="128" spans="1:19" x14ac:dyDescent="0.3">
      <c r="A128" t="str">
        <f>IF(Expense_Input!A128="","",Expense_Input!A128)</f>
        <v/>
      </c>
      <c r="B128" t="str">
        <f>IF(Expense_Input!B128="","",Expense_Input!B128)</f>
        <v/>
      </c>
      <c r="C128" t="str">
        <f t="shared" si="7"/>
        <v/>
      </c>
      <c r="D128" t="str">
        <f>IF(Expense_Input!C128="","",Expense_Input!C128)</f>
        <v/>
      </c>
      <c r="E128" s="4" t="str">
        <f>IF(Expense_Input!D128="","",Expense_Input!D128)</f>
        <v/>
      </c>
      <c r="F128" t="str">
        <f>IF(Expense_Input!E128="","",Expense_Input!E128)</f>
        <v/>
      </c>
      <c r="G128" t="str">
        <f>IF(Expense_Input!H128="","",Expense_Input!H128)</f>
        <v/>
      </c>
      <c r="H128" t="str">
        <f>IF(Expense_Input!I128="","Auto",Expense_Input!I128)</f>
        <v>Auto</v>
      </c>
      <c r="I128" t="str">
        <f>IF(F128="","",IFERROR(VLOOKUP(F128,Sales_Tax_Settings!$A$15:$B$27,2,FALSE),"Tax Unknown"))</f>
        <v/>
      </c>
      <c r="J128" t="str">
        <f t="shared" si="8"/>
        <v/>
      </c>
      <c r="K128" t="str">
        <f>IF(AND(Sales_Tax_Settings!$B$5="Yes",G128="Personal Expense",J128="Taxable"),"Yes","No")</f>
        <v>No</v>
      </c>
      <c r="L128" s="4">
        <f t="shared" si="9"/>
        <v>0</v>
      </c>
      <c r="M128" s="4">
        <f t="shared" si="10"/>
        <v>0</v>
      </c>
      <c r="N128" s="4">
        <f t="shared" si="11"/>
        <v>0</v>
      </c>
      <c r="O128" s="4">
        <f t="shared" si="12"/>
        <v>0</v>
      </c>
      <c r="P128" s="4">
        <f>IF(K128&lt;&gt;"Yes",0,IF(Sales_Tax_Settings!$B$6="Yes",E128/(1+Sales_Tax_Settings!$B$10),E128))</f>
        <v>0</v>
      </c>
      <c r="Q128" s="4">
        <f>IF(K128&lt;&gt;"Yes",0,P128*Sales_Tax_Settings!$B$8)</f>
        <v>0</v>
      </c>
      <c r="R128" s="4">
        <f>IF(K128&lt;&gt;"Yes",0,P128*Sales_Tax_Settings!$B$9)</f>
        <v>0</v>
      </c>
      <c r="S128" s="4">
        <f t="shared" si="13"/>
        <v>0</v>
      </c>
    </row>
    <row r="129" spans="1:19" x14ac:dyDescent="0.3">
      <c r="A129" t="str">
        <f>IF(Expense_Input!A129="","",Expense_Input!A129)</f>
        <v/>
      </c>
      <c r="B129" t="str">
        <f>IF(Expense_Input!B129="","",Expense_Input!B129)</f>
        <v/>
      </c>
      <c r="C129" t="str">
        <f t="shared" si="7"/>
        <v/>
      </c>
      <c r="D129" t="str">
        <f>IF(Expense_Input!C129="","",Expense_Input!C129)</f>
        <v/>
      </c>
      <c r="E129" s="4" t="str">
        <f>IF(Expense_Input!D129="","",Expense_Input!D129)</f>
        <v/>
      </c>
      <c r="F129" t="str">
        <f>IF(Expense_Input!E129="","",Expense_Input!E129)</f>
        <v/>
      </c>
      <c r="G129" t="str">
        <f>IF(Expense_Input!H129="","",Expense_Input!H129)</f>
        <v/>
      </c>
      <c r="H129" t="str">
        <f>IF(Expense_Input!I129="","Auto",Expense_Input!I129)</f>
        <v>Auto</v>
      </c>
      <c r="I129" t="str">
        <f>IF(F129="","",IFERROR(VLOOKUP(F129,Sales_Tax_Settings!$A$15:$B$27,2,FALSE),"Tax Unknown"))</f>
        <v/>
      </c>
      <c r="J129" t="str">
        <f t="shared" si="8"/>
        <v/>
      </c>
      <c r="K129" t="str">
        <f>IF(AND(Sales_Tax_Settings!$B$5="Yes",G129="Personal Expense",J129="Taxable"),"Yes","No")</f>
        <v>No</v>
      </c>
      <c r="L129" s="4">
        <f t="shared" si="9"/>
        <v>0</v>
      </c>
      <c r="M129" s="4">
        <f t="shared" si="10"/>
        <v>0</v>
      </c>
      <c r="N129" s="4">
        <f t="shared" si="11"/>
        <v>0</v>
      </c>
      <c r="O129" s="4">
        <f t="shared" si="12"/>
        <v>0</v>
      </c>
      <c r="P129" s="4">
        <f>IF(K129&lt;&gt;"Yes",0,IF(Sales_Tax_Settings!$B$6="Yes",E129/(1+Sales_Tax_Settings!$B$10),E129))</f>
        <v>0</v>
      </c>
      <c r="Q129" s="4">
        <f>IF(K129&lt;&gt;"Yes",0,P129*Sales_Tax_Settings!$B$8)</f>
        <v>0</v>
      </c>
      <c r="R129" s="4">
        <f>IF(K129&lt;&gt;"Yes",0,P129*Sales_Tax_Settings!$B$9)</f>
        <v>0</v>
      </c>
      <c r="S129" s="4">
        <f t="shared" si="13"/>
        <v>0</v>
      </c>
    </row>
    <row r="130" spans="1:19" x14ac:dyDescent="0.3">
      <c r="A130" t="str">
        <f>IF(Expense_Input!A130="","",Expense_Input!A130)</f>
        <v/>
      </c>
      <c r="B130" t="str">
        <f>IF(Expense_Input!B130="","",Expense_Input!B130)</f>
        <v/>
      </c>
      <c r="C130" t="str">
        <f t="shared" si="7"/>
        <v/>
      </c>
      <c r="D130" t="str">
        <f>IF(Expense_Input!C130="","",Expense_Input!C130)</f>
        <v/>
      </c>
      <c r="E130" s="4" t="str">
        <f>IF(Expense_Input!D130="","",Expense_Input!D130)</f>
        <v/>
      </c>
      <c r="F130" t="str">
        <f>IF(Expense_Input!E130="","",Expense_Input!E130)</f>
        <v/>
      </c>
      <c r="G130" t="str">
        <f>IF(Expense_Input!H130="","",Expense_Input!H130)</f>
        <v/>
      </c>
      <c r="H130" t="str">
        <f>IF(Expense_Input!I130="","Auto",Expense_Input!I130)</f>
        <v>Auto</v>
      </c>
      <c r="I130" t="str">
        <f>IF(F130="","",IFERROR(VLOOKUP(F130,Sales_Tax_Settings!$A$15:$B$27,2,FALSE),"Tax Unknown"))</f>
        <v/>
      </c>
      <c r="J130" t="str">
        <f t="shared" si="8"/>
        <v/>
      </c>
      <c r="K130" t="str">
        <f>IF(AND(Sales_Tax_Settings!$B$5="Yes",G130="Personal Expense",J130="Taxable"),"Yes","No")</f>
        <v>No</v>
      </c>
      <c r="L130" s="4">
        <f t="shared" si="9"/>
        <v>0</v>
      </c>
      <c r="M130" s="4">
        <f t="shared" si="10"/>
        <v>0</v>
      </c>
      <c r="N130" s="4">
        <f t="shared" si="11"/>
        <v>0</v>
      </c>
      <c r="O130" s="4">
        <f t="shared" si="12"/>
        <v>0</v>
      </c>
      <c r="P130" s="4">
        <f>IF(K130&lt;&gt;"Yes",0,IF(Sales_Tax_Settings!$B$6="Yes",E130/(1+Sales_Tax_Settings!$B$10),E130))</f>
        <v>0</v>
      </c>
      <c r="Q130" s="4">
        <f>IF(K130&lt;&gt;"Yes",0,P130*Sales_Tax_Settings!$B$8)</f>
        <v>0</v>
      </c>
      <c r="R130" s="4">
        <f>IF(K130&lt;&gt;"Yes",0,P130*Sales_Tax_Settings!$B$9)</f>
        <v>0</v>
      </c>
      <c r="S130" s="4">
        <f t="shared" si="13"/>
        <v>0</v>
      </c>
    </row>
    <row r="131" spans="1:19" x14ac:dyDescent="0.3">
      <c r="A131" t="str">
        <f>IF(Expense_Input!A131="","",Expense_Input!A131)</f>
        <v/>
      </c>
      <c r="B131" t="str">
        <f>IF(Expense_Input!B131="","",Expense_Input!B131)</f>
        <v/>
      </c>
      <c r="C131" t="str">
        <f t="shared" si="7"/>
        <v/>
      </c>
      <c r="D131" t="str">
        <f>IF(Expense_Input!C131="","",Expense_Input!C131)</f>
        <v/>
      </c>
      <c r="E131" s="4" t="str">
        <f>IF(Expense_Input!D131="","",Expense_Input!D131)</f>
        <v/>
      </c>
      <c r="F131" t="str">
        <f>IF(Expense_Input!E131="","",Expense_Input!E131)</f>
        <v/>
      </c>
      <c r="G131" t="str">
        <f>IF(Expense_Input!H131="","",Expense_Input!H131)</f>
        <v/>
      </c>
      <c r="H131" t="str">
        <f>IF(Expense_Input!I131="","Auto",Expense_Input!I131)</f>
        <v>Auto</v>
      </c>
      <c r="I131" t="str">
        <f>IF(F131="","",IFERROR(VLOOKUP(F131,Sales_Tax_Settings!$A$15:$B$27,2,FALSE),"Tax Unknown"))</f>
        <v/>
      </c>
      <c r="J131" t="str">
        <f t="shared" si="8"/>
        <v/>
      </c>
      <c r="K131" t="str">
        <f>IF(AND(Sales_Tax_Settings!$B$5="Yes",G131="Personal Expense",J131="Taxable"),"Yes","No")</f>
        <v>No</v>
      </c>
      <c r="L131" s="4">
        <f t="shared" si="9"/>
        <v>0</v>
      </c>
      <c r="M131" s="4">
        <f t="shared" si="10"/>
        <v>0</v>
      </c>
      <c r="N131" s="4">
        <f t="shared" si="11"/>
        <v>0</v>
      </c>
      <c r="O131" s="4">
        <f t="shared" si="12"/>
        <v>0</v>
      </c>
      <c r="P131" s="4">
        <f>IF(K131&lt;&gt;"Yes",0,IF(Sales_Tax_Settings!$B$6="Yes",E131/(1+Sales_Tax_Settings!$B$10),E131))</f>
        <v>0</v>
      </c>
      <c r="Q131" s="4">
        <f>IF(K131&lt;&gt;"Yes",0,P131*Sales_Tax_Settings!$B$8)</f>
        <v>0</v>
      </c>
      <c r="R131" s="4">
        <f>IF(K131&lt;&gt;"Yes",0,P131*Sales_Tax_Settings!$B$9)</f>
        <v>0</v>
      </c>
      <c r="S131" s="4">
        <f t="shared" si="13"/>
        <v>0</v>
      </c>
    </row>
    <row r="132" spans="1:19" x14ac:dyDescent="0.3">
      <c r="A132" t="str">
        <f>IF(Expense_Input!A132="","",Expense_Input!A132)</f>
        <v/>
      </c>
      <c r="B132" t="str">
        <f>IF(Expense_Input!B132="","",Expense_Input!B132)</f>
        <v/>
      </c>
      <c r="C132" t="str">
        <f t="shared" ref="C132:C195" si="14">IF(B132="","",TEXT(B132,"yyyy-mm"))</f>
        <v/>
      </c>
      <c r="D132" t="str">
        <f>IF(Expense_Input!C132="","",Expense_Input!C132)</f>
        <v/>
      </c>
      <c r="E132" s="4" t="str">
        <f>IF(Expense_Input!D132="","",Expense_Input!D132)</f>
        <v/>
      </c>
      <c r="F132" t="str">
        <f>IF(Expense_Input!E132="","",Expense_Input!E132)</f>
        <v/>
      </c>
      <c r="G132" t="str">
        <f>IF(Expense_Input!H132="","",Expense_Input!H132)</f>
        <v/>
      </c>
      <c r="H132" t="str">
        <f>IF(Expense_Input!I132="","Auto",Expense_Input!I132)</f>
        <v>Auto</v>
      </c>
      <c r="I132" t="str">
        <f>IF(F132="","",IFERROR(VLOOKUP(F132,Sales_Tax_Settings!$A$15:$B$27,2,FALSE),"Tax Unknown"))</f>
        <v/>
      </c>
      <c r="J132" t="str">
        <f t="shared" ref="J132:J195" si="15">IF(D132="","",IF(H132="Auto",I132,H132))</f>
        <v/>
      </c>
      <c r="K132" t="str">
        <f>IF(AND(Sales_Tax_Settings!$B$5="Yes",G132="Personal Expense",J132="Taxable"),"Yes","No")</f>
        <v>No</v>
      </c>
      <c r="L132" s="4">
        <f t="shared" ref="L132:L195" si="16">IF(K132="Yes",E132,0)</f>
        <v>0</v>
      </c>
      <c r="M132" s="4">
        <f t="shared" ref="M132:M195" si="17">IF(AND(G132="Personal Expense",J132="Zero-rated"),E132,0)</f>
        <v>0</v>
      </c>
      <c r="N132" s="4">
        <f t="shared" ref="N132:N195" si="18">IF(AND(G132="Personal Expense",J132="Exempt"),E132,0)</f>
        <v>0</v>
      </c>
      <c r="O132" s="4">
        <f t="shared" ref="O132:O195" si="19">IF(AND(G132="Personal Expense",OR(J132="Tax Unknown",J132="Not Applicable")),E132,0)</f>
        <v>0</v>
      </c>
      <c r="P132" s="4">
        <f>IF(K132&lt;&gt;"Yes",0,IF(Sales_Tax_Settings!$B$6="Yes",E132/(1+Sales_Tax_Settings!$B$10),E132))</f>
        <v>0</v>
      </c>
      <c r="Q132" s="4">
        <f>IF(K132&lt;&gt;"Yes",0,P132*Sales_Tax_Settings!$B$8)</f>
        <v>0</v>
      </c>
      <c r="R132" s="4">
        <f>IF(K132&lt;&gt;"Yes",0,P132*Sales_Tax_Settings!$B$9)</f>
        <v>0</v>
      </c>
      <c r="S132" s="4">
        <f t="shared" ref="S132:S195" si="20">Q132+R132</f>
        <v>0</v>
      </c>
    </row>
    <row r="133" spans="1:19" x14ac:dyDescent="0.3">
      <c r="A133" t="str">
        <f>IF(Expense_Input!A133="","",Expense_Input!A133)</f>
        <v/>
      </c>
      <c r="B133" t="str">
        <f>IF(Expense_Input!B133="","",Expense_Input!B133)</f>
        <v/>
      </c>
      <c r="C133" t="str">
        <f t="shared" si="14"/>
        <v/>
      </c>
      <c r="D133" t="str">
        <f>IF(Expense_Input!C133="","",Expense_Input!C133)</f>
        <v/>
      </c>
      <c r="E133" s="4" t="str">
        <f>IF(Expense_Input!D133="","",Expense_Input!D133)</f>
        <v/>
      </c>
      <c r="F133" t="str">
        <f>IF(Expense_Input!E133="","",Expense_Input!E133)</f>
        <v/>
      </c>
      <c r="G133" t="str">
        <f>IF(Expense_Input!H133="","",Expense_Input!H133)</f>
        <v/>
      </c>
      <c r="H133" t="str">
        <f>IF(Expense_Input!I133="","Auto",Expense_Input!I133)</f>
        <v>Auto</v>
      </c>
      <c r="I133" t="str">
        <f>IF(F133="","",IFERROR(VLOOKUP(F133,Sales_Tax_Settings!$A$15:$B$27,2,FALSE),"Tax Unknown"))</f>
        <v/>
      </c>
      <c r="J133" t="str">
        <f t="shared" si="15"/>
        <v/>
      </c>
      <c r="K133" t="str">
        <f>IF(AND(Sales_Tax_Settings!$B$5="Yes",G133="Personal Expense",J133="Taxable"),"Yes","No")</f>
        <v>No</v>
      </c>
      <c r="L133" s="4">
        <f t="shared" si="16"/>
        <v>0</v>
      </c>
      <c r="M133" s="4">
        <f t="shared" si="17"/>
        <v>0</v>
      </c>
      <c r="N133" s="4">
        <f t="shared" si="18"/>
        <v>0</v>
      </c>
      <c r="O133" s="4">
        <f t="shared" si="19"/>
        <v>0</v>
      </c>
      <c r="P133" s="4">
        <f>IF(K133&lt;&gt;"Yes",0,IF(Sales_Tax_Settings!$B$6="Yes",E133/(1+Sales_Tax_Settings!$B$10),E133))</f>
        <v>0</v>
      </c>
      <c r="Q133" s="4">
        <f>IF(K133&lt;&gt;"Yes",0,P133*Sales_Tax_Settings!$B$8)</f>
        <v>0</v>
      </c>
      <c r="R133" s="4">
        <f>IF(K133&lt;&gt;"Yes",0,P133*Sales_Tax_Settings!$B$9)</f>
        <v>0</v>
      </c>
      <c r="S133" s="4">
        <f t="shared" si="20"/>
        <v>0</v>
      </c>
    </row>
    <row r="134" spans="1:19" x14ac:dyDescent="0.3">
      <c r="A134" t="str">
        <f>IF(Expense_Input!A134="","",Expense_Input!A134)</f>
        <v/>
      </c>
      <c r="B134" t="str">
        <f>IF(Expense_Input!B134="","",Expense_Input!B134)</f>
        <v/>
      </c>
      <c r="C134" t="str">
        <f t="shared" si="14"/>
        <v/>
      </c>
      <c r="D134" t="str">
        <f>IF(Expense_Input!C134="","",Expense_Input!C134)</f>
        <v/>
      </c>
      <c r="E134" s="4" t="str">
        <f>IF(Expense_Input!D134="","",Expense_Input!D134)</f>
        <v/>
      </c>
      <c r="F134" t="str">
        <f>IF(Expense_Input!E134="","",Expense_Input!E134)</f>
        <v/>
      </c>
      <c r="G134" t="str">
        <f>IF(Expense_Input!H134="","",Expense_Input!H134)</f>
        <v/>
      </c>
      <c r="H134" t="str">
        <f>IF(Expense_Input!I134="","Auto",Expense_Input!I134)</f>
        <v>Auto</v>
      </c>
      <c r="I134" t="str">
        <f>IF(F134="","",IFERROR(VLOOKUP(F134,Sales_Tax_Settings!$A$15:$B$27,2,FALSE),"Tax Unknown"))</f>
        <v/>
      </c>
      <c r="J134" t="str">
        <f t="shared" si="15"/>
        <v/>
      </c>
      <c r="K134" t="str">
        <f>IF(AND(Sales_Tax_Settings!$B$5="Yes",G134="Personal Expense",J134="Taxable"),"Yes","No")</f>
        <v>No</v>
      </c>
      <c r="L134" s="4">
        <f t="shared" si="16"/>
        <v>0</v>
      </c>
      <c r="M134" s="4">
        <f t="shared" si="17"/>
        <v>0</v>
      </c>
      <c r="N134" s="4">
        <f t="shared" si="18"/>
        <v>0</v>
      </c>
      <c r="O134" s="4">
        <f t="shared" si="19"/>
        <v>0</v>
      </c>
      <c r="P134" s="4">
        <f>IF(K134&lt;&gt;"Yes",0,IF(Sales_Tax_Settings!$B$6="Yes",E134/(1+Sales_Tax_Settings!$B$10),E134))</f>
        <v>0</v>
      </c>
      <c r="Q134" s="4">
        <f>IF(K134&lt;&gt;"Yes",0,P134*Sales_Tax_Settings!$B$8)</f>
        <v>0</v>
      </c>
      <c r="R134" s="4">
        <f>IF(K134&lt;&gt;"Yes",0,P134*Sales_Tax_Settings!$B$9)</f>
        <v>0</v>
      </c>
      <c r="S134" s="4">
        <f t="shared" si="20"/>
        <v>0</v>
      </c>
    </row>
    <row r="135" spans="1:19" x14ac:dyDescent="0.3">
      <c r="A135" t="str">
        <f>IF(Expense_Input!A135="","",Expense_Input!A135)</f>
        <v/>
      </c>
      <c r="B135" t="str">
        <f>IF(Expense_Input!B135="","",Expense_Input!B135)</f>
        <v/>
      </c>
      <c r="C135" t="str">
        <f t="shared" si="14"/>
        <v/>
      </c>
      <c r="D135" t="str">
        <f>IF(Expense_Input!C135="","",Expense_Input!C135)</f>
        <v/>
      </c>
      <c r="E135" s="4" t="str">
        <f>IF(Expense_Input!D135="","",Expense_Input!D135)</f>
        <v/>
      </c>
      <c r="F135" t="str">
        <f>IF(Expense_Input!E135="","",Expense_Input!E135)</f>
        <v/>
      </c>
      <c r="G135" t="str">
        <f>IF(Expense_Input!H135="","",Expense_Input!H135)</f>
        <v/>
      </c>
      <c r="H135" t="str">
        <f>IF(Expense_Input!I135="","Auto",Expense_Input!I135)</f>
        <v>Auto</v>
      </c>
      <c r="I135" t="str">
        <f>IF(F135="","",IFERROR(VLOOKUP(F135,Sales_Tax_Settings!$A$15:$B$27,2,FALSE),"Tax Unknown"))</f>
        <v/>
      </c>
      <c r="J135" t="str">
        <f t="shared" si="15"/>
        <v/>
      </c>
      <c r="K135" t="str">
        <f>IF(AND(Sales_Tax_Settings!$B$5="Yes",G135="Personal Expense",J135="Taxable"),"Yes","No")</f>
        <v>No</v>
      </c>
      <c r="L135" s="4">
        <f t="shared" si="16"/>
        <v>0</v>
      </c>
      <c r="M135" s="4">
        <f t="shared" si="17"/>
        <v>0</v>
      </c>
      <c r="N135" s="4">
        <f t="shared" si="18"/>
        <v>0</v>
      </c>
      <c r="O135" s="4">
        <f t="shared" si="19"/>
        <v>0</v>
      </c>
      <c r="P135" s="4">
        <f>IF(K135&lt;&gt;"Yes",0,IF(Sales_Tax_Settings!$B$6="Yes",E135/(1+Sales_Tax_Settings!$B$10),E135))</f>
        <v>0</v>
      </c>
      <c r="Q135" s="4">
        <f>IF(K135&lt;&gt;"Yes",0,P135*Sales_Tax_Settings!$B$8)</f>
        <v>0</v>
      </c>
      <c r="R135" s="4">
        <f>IF(K135&lt;&gt;"Yes",0,P135*Sales_Tax_Settings!$B$9)</f>
        <v>0</v>
      </c>
      <c r="S135" s="4">
        <f t="shared" si="20"/>
        <v>0</v>
      </c>
    </row>
    <row r="136" spans="1:19" x14ac:dyDescent="0.3">
      <c r="A136" t="str">
        <f>IF(Expense_Input!A136="","",Expense_Input!A136)</f>
        <v/>
      </c>
      <c r="B136" t="str">
        <f>IF(Expense_Input!B136="","",Expense_Input!B136)</f>
        <v/>
      </c>
      <c r="C136" t="str">
        <f t="shared" si="14"/>
        <v/>
      </c>
      <c r="D136" t="str">
        <f>IF(Expense_Input!C136="","",Expense_Input!C136)</f>
        <v/>
      </c>
      <c r="E136" s="4" t="str">
        <f>IF(Expense_Input!D136="","",Expense_Input!D136)</f>
        <v/>
      </c>
      <c r="F136" t="str">
        <f>IF(Expense_Input!E136="","",Expense_Input!E136)</f>
        <v/>
      </c>
      <c r="G136" t="str">
        <f>IF(Expense_Input!H136="","",Expense_Input!H136)</f>
        <v/>
      </c>
      <c r="H136" t="str">
        <f>IF(Expense_Input!I136="","Auto",Expense_Input!I136)</f>
        <v>Auto</v>
      </c>
      <c r="I136" t="str">
        <f>IF(F136="","",IFERROR(VLOOKUP(F136,Sales_Tax_Settings!$A$15:$B$27,2,FALSE),"Tax Unknown"))</f>
        <v/>
      </c>
      <c r="J136" t="str">
        <f t="shared" si="15"/>
        <v/>
      </c>
      <c r="K136" t="str">
        <f>IF(AND(Sales_Tax_Settings!$B$5="Yes",G136="Personal Expense",J136="Taxable"),"Yes","No")</f>
        <v>No</v>
      </c>
      <c r="L136" s="4">
        <f t="shared" si="16"/>
        <v>0</v>
      </c>
      <c r="M136" s="4">
        <f t="shared" si="17"/>
        <v>0</v>
      </c>
      <c r="N136" s="4">
        <f t="shared" si="18"/>
        <v>0</v>
      </c>
      <c r="O136" s="4">
        <f t="shared" si="19"/>
        <v>0</v>
      </c>
      <c r="P136" s="4">
        <f>IF(K136&lt;&gt;"Yes",0,IF(Sales_Tax_Settings!$B$6="Yes",E136/(1+Sales_Tax_Settings!$B$10),E136))</f>
        <v>0</v>
      </c>
      <c r="Q136" s="4">
        <f>IF(K136&lt;&gt;"Yes",0,P136*Sales_Tax_Settings!$B$8)</f>
        <v>0</v>
      </c>
      <c r="R136" s="4">
        <f>IF(K136&lt;&gt;"Yes",0,P136*Sales_Tax_Settings!$B$9)</f>
        <v>0</v>
      </c>
      <c r="S136" s="4">
        <f t="shared" si="20"/>
        <v>0</v>
      </c>
    </row>
    <row r="137" spans="1:19" x14ac:dyDescent="0.3">
      <c r="A137" t="str">
        <f>IF(Expense_Input!A137="","",Expense_Input!A137)</f>
        <v/>
      </c>
      <c r="B137" t="str">
        <f>IF(Expense_Input!B137="","",Expense_Input!B137)</f>
        <v/>
      </c>
      <c r="C137" t="str">
        <f t="shared" si="14"/>
        <v/>
      </c>
      <c r="D137" t="str">
        <f>IF(Expense_Input!C137="","",Expense_Input!C137)</f>
        <v/>
      </c>
      <c r="E137" s="4" t="str">
        <f>IF(Expense_Input!D137="","",Expense_Input!D137)</f>
        <v/>
      </c>
      <c r="F137" t="str">
        <f>IF(Expense_Input!E137="","",Expense_Input!E137)</f>
        <v/>
      </c>
      <c r="G137" t="str">
        <f>IF(Expense_Input!H137="","",Expense_Input!H137)</f>
        <v/>
      </c>
      <c r="H137" t="str">
        <f>IF(Expense_Input!I137="","Auto",Expense_Input!I137)</f>
        <v>Auto</v>
      </c>
      <c r="I137" t="str">
        <f>IF(F137="","",IFERROR(VLOOKUP(F137,Sales_Tax_Settings!$A$15:$B$27,2,FALSE),"Tax Unknown"))</f>
        <v/>
      </c>
      <c r="J137" t="str">
        <f t="shared" si="15"/>
        <v/>
      </c>
      <c r="K137" t="str">
        <f>IF(AND(Sales_Tax_Settings!$B$5="Yes",G137="Personal Expense",J137="Taxable"),"Yes","No")</f>
        <v>No</v>
      </c>
      <c r="L137" s="4">
        <f t="shared" si="16"/>
        <v>0</v>
      </c>
      <c r="M137" s="4">
        <f t="shared" si="17"/>
        <v>0</v>
      </c>
      <c r="N137" s="4">
        <f t="shared" si="18"/>
        <v>0</v>
      </c>
      <c r="O137" s="4">
        <f t="shared" si="19"/>
        <v>0</v>
      </c>
      <c r="P137" s="4">
        <f>IF(K137&lt;&gt;"Yes",0,IF(Sales_Tax_Settings!$B$6="Yes",E137/(1+Sales_Tax_Settings!$B$10),E137))</f>
        <v>0</v>
      </c>
      <c r="Q137" s="4">
        <f>IF(K137&lt;&gt;"Yes",0,P137*Sales_Tax_Settings!$B$8)</f>
        <v>0</v>
      </c>
      <c r="R137" s="4">
        <f>IF(K137&lt;&gt;"Yes",0,P137*Sales_Tax_Settings!$B$9)</f>
        <v>0</v>
      </c>
      <c r="S137" s="4">
        <f t="shared" si="20"/>
        <v>0</v>
      </c>
    </row>
    <row r="138" spans="1:19" x14ac:dyDescent="0.3">
      <c r="A138" t="str">
        <f>IF(Expense_Input!A138="","",Expense_Input!A138)</f>
        <v/>
      </c>
      <c r="B138" t="str">
        <f>IF(Expense_Input!B138="","",Expense_Input!B138)</f>
        <v/>
      </c>
      <c r="C138" t="str">
        <f t="shared" si="14"/>
        <v/>
      </c>
      <c r="D138" t="str">
        <f>IF(Expense_Input!C138="","",Expense_Input!C138)</f>
        <v/>
      </c>
      <c r="E138" s="4" t="str">
        <f>IF(Expense_Input!D138="","",Expense_Input!D138)</f>
        <v/>
      </c>
      <c r="F138" t="str">
        <f>IF(Expense_Input!E138="","",Expense_Input!E138)</f>
        <v/>
      </c>
      <c r="G138" t="str">
        <f>IF(Expense_Input!H138="","",Expense_Input!H138)</f>
        <v/>
      </c>
      <c r="H138" t="str">
        <f>IF(Expense_Input!I138="","Auto",Expense_Input!I138)</f>
        <v>Auto</v>
      </c>
      <c r="I138" t="str">
        <f>IF(F138="","",IFERROR(VLOOKUP(F138,Sales_Tax_Settings!$A$15:$B$27,2,FALSE),"Tax Unknown"))</f>
        <v/>
      </c>
      <c r="J138" t="str">
        <f t="shared" si="15"/>
        <v/>
      </c>
      <c r="K138" t="str">
        <f>IF(AND(Sales_Tax_Settings!$B$5="Yes",G138="Personal Expense",J138="Taxable"),"Yes","No")</f>
        <v>No</v>
      </c>
      <c r="L138" s="4">
        <f t="shared" si="16"/>
        <v>0</v>
      </c>
      <c r="M138" s="4">
        <f t="shared" si="17"/>
        <v>0</v>
      </c>
      <c r="N138" s="4">
        <f t="shared" si="18"/>
        <v>0</v>
      </c>
      <c r="O138" s="4">
        <f t="shared" si="19"/>
        <v>0</v>
      </c>
      <c r="P138" s="4">
        <f>IF(K138&lt;&gt;"Yes",0,IF(Sales_Tax_Settings!$B$6="Yes",E138/(1+Sales_Tax_Settings!$B$10),E138))</f>
        <v>0</v>
      </c>
      <c r="Q138" s="4">
        <f>IF(K138&lt;&gt;"Yes",0,P138*Sales_Tax_Settings!$B$8)</f>
        <v>0</v>
      </c>
      <c r="R138" s="4">
        <f>IF(K138&lt;&gt;"Yes",0,P138*Sales_Tax_Settings!$B$9)</f>
        <v>0</v>
      </c>
      <c r="S138" s="4">
        <f t="shared" si="20"/>
        <v>0</v>
      </c>
    </row>
    <row r="139" spans="1:19" x14ac:dyDescent="0.3">
      <c r="A139" t="str">
        <f>IF(Expense_Input!A139="","",Expense_Input!A139)</f>
        <v/>
      </c>
      <c r="B139" t="str">
        <f>IF(Expense_Input!B139="","",Expense_Input!B139)</f>
        <v/>
      </c>
      <c r="C139" t="str">
        <f t="shared" si="14"/>
        <v/>
      </c>
      <c r="D139" t="str">
        <f>IF(Expense_Input!C139="","",Expense_Input!C139)</f>
        <v/>
      </c>
      <c r="E139" s="4" t="str">
        <f>IF(Expense_Input!D139="","",Expense_Input!D139)</f>
        <v/>
      </c>
      <c r="F139" t="str">
        <f>IF(Expense_Input!E139="","",Expense_Input!E139)</f>
        <v/>
      </c>
      <c r="G139" t="str">
        <f>IF(Expense_Input!H139="","",Expense_Input!H139)</f>
        <v/>
      </c>
      <c r="H139" t="str">
        <f>IF(Expense_Input!I139="","Auto",Expense_Input!I139)</f>
        <v>Auto</v>
      </c>
      <c r="I139" t="str">
        <f>IF(F139="","",IFERROR(VLOOKUP(F139,Sales_Tax_Settings!$A$15:$B$27,2,FALSE),"Tax Unknown"))</f>
        <v/>
      </c>
      <c r="J139" t="str">
        <f t="shared" si="15"/>
        <v/>
      </c>
      <c r="K139" t="str">
        <f>IF(AND(Sales_Tax_Settings!$B$5="Yes",G139="Personal Expense",J139="Taxable"),"Yes","No")</f>
        <v>No</v>
      </c>
      <c r="L139" s="4">
        <f t="shared" si="16"/>
        <v>0</v>
      </c>
      <c r="M139" s="4">
        <f t="shared" si="17"/>
        <v>0</v>
      </c>
      <c r="N139" s="4">
        <f t="shared" si="18"/>
        <v>0</v>
      </c>
      <c r="O139" s="4">
        <f t="shared" si="19"/>
        <v>0</v>
      </c>
      <c r="P139" s="4">
        <f>IF(K139&lt;&gt;"Yes",0,IF(Sales_Tax_Settings!$B$6="Yes",E139/(1+Sales_Tax_Settings!$B$10),E139))</f>
        <v>0</v>
      </c>
      <c r="Q139" s="4">
        <f>IF(K139&lt;&gt;"Yes",0,P139*Sales_Tax_Settings!$B$8)</f>
        <v>0</v>
      </c>
      <c r="R139" s="4">
        <f>IF(K139&lt;&gt;"Yes",0,P139*Sales_Tax_Settings!$B$9)</f>
        <v>0</v>
      </c>
      <c r="S139" s="4">
        <f t="shared" si="20"/>
        <v>0</v>
      </c>
    </row>
    <row r="140" spans="1:19" x14ac:dyDescent="0.3">
      <c r="A140" t="str">
        <f>IF(Expense_Input!A140="","",Expense_Input!A140)</f>
        <v/>
      </c>
      <c r="B140" t="str">
        <f>IF(Expense_Input!B140="","",Expense_Input!B140)</f>
        <v/>
      </c>
      <c r="C140" t="str">
        <f t="shared" si="14"/>
        <v/>
      </c>
      <c r="D140" t="str">
        <f>IF(Expense_Input!C140="","",Expense_Input!C140)</f>
        <v/>
      </c>
      <c r="E140" s="4" t="str">
        <f>IF(Expense_Input!D140="","",Expense_Input!D140)</f>
        <v/>
      </c>
      <c r="F140" t="str">
        <f>IF(Expense_Input!E140="","",Expense_Input!E140)</f>
        <v/>
      </c>
      <c r="G140" t="str">
        <f>IF(Expense_Input!H140="","",Expense_Input!H140)</f>
        <v/>
      </c>
      <c r="H140" t="str">
        <f>IF(Expense_Input!I140="","Auto",Expense_Input!I140)</f>
        <v>Auto</v>
      </c>
      <c r="I140" t="str">
        <f>IF(F140="","",IFERROR(VLOOKUP(F140,Sales_Tax_Settings!$A$15:$B$27,2,FALSE),"Tax Unknown"))</f>
        <v/>
      </c>
      <c r="J140" t="str">
        <f t="shared" si="15"/>
        <v/>
      </c>
      <c r="K140" t="str">
        <f>IF(AND(Sales_Tax_Settings!$B$5="Yes",G140="Personal Expense",J140="Taxable"),"Yes","No")</f>
        <v>No</v>
      </c>
      <c r="L140" s="4">
        <f t="shared" si="16"/>
        <v>0</v>
      </c>
      <c r="M140" s="4">
        <f t="shared" si="17"/>
        <v>0</v>
      </c>
      <c r="N140" s="4">
        <f t="shared" si="18"/>
        <v>0</v>
      </c>
      <c r="O140" s="4">
        <f t="shared" si="19"/>
        <v>0</v>
      </c>
      <c r="P140" s="4">
        <f>IF(K140&lt;&gt;"Yes",0,IF(Sales_Tax_Settings!$B$6="Yes",E140/(1+Sales_Tax_Settings!$B$10),E140))</f>
        <v>0</v>
      </c>
      <c r="Q140" s="4">
        <f>IF(K140&lt;&gt;"Yes",0,P140*Sales_Tax_Settings!$B$8)</f>
        <v>0</v>
      </c>
      <c r="R140" s="4">
        <f>IF(K140&lt;&gt;"Yes",0,P140*Sales_Tax_Settings!$B$9)</f>
        <v>0</v>
      </c>
      <c r="S140" s="4">
        <f t="shared" si="20"/>
        <v>0</v>
      </c>
    </row>
    <row r="141" spans="1:19" x14ac:dyDescent="0.3">
      <c r="A141" t="str">
        <f>IF(Expense_Input!A141="","",Expense_Input!A141)</f>
        <v/>
      </c>
      <c r="B141" t="str">
        <f>IF(Expense_Input!B141="","",Expense_Input!B141)</f>
        <v/>
      </c>
      <c r="C141" t="str">
        <f t="shared" si="14"/>
        <v/>
      </c>
      <c r="D141" t="str">
        <f>IF(Expense_Input!C141="","",Expense_Input!C141)</f>
        <v/>
      </c>
      <c r="E141" s="4" t="str">
        <f>IF(Expense_Input!D141="","",Expense_Input!D141)</f>
        <v/>
      </c>
      <c r="F141" t="str">
        <f>IF(Expense_Input!E141="","",Expense_Input!E141)</f>
        <v/>
      </c>
      <c r="G141" t="str">
        <f>IF(Expense_Input!H141="","",Expense_Input!H141)</f>
        <v/>
      </c>
      <c r="H141" t="str">
        <f>IF(Expense_Input!I141="","Auto",Expense_Input!I141)</f>
        <v>Auto</v>
      </c>
      <c r="I141" t="str">
        <f>IF(F141="","",IFERROR(VLOOKUP(F141,Sales_Tax_Settings!$A$15:$B$27,2,FALSE),"Tax Unknown"))</f>
        <v/>
      </c>
      <c r="J141" t="str">
        <f t="shared" si="15"/>
        <v/>
      </c>
      <c r="K141" t="str">
        <f>IF(AND(Sales_Tax_Settings!$B$5="Yes",G141="Personal Expense",J141="Taxable"),"Yes","No")</f>
        <v>No</v>
      </c>
      <c r="L141" s="4">
        <f t="shared" si="16"/>
        <v>0</v>
      </c>
      <c r="M141" s="4">
        <f t="shared" si="17"/>
        <v>0</v>
      </c>
      <c r="N141" s="4">
        <f t="shared" si="18"/>
        <v>0</v>
      </c>
      <c r="O141" s="4">
        <f t="shared" si="19"/>
        <v>0</v>
      </c>
      <c r="P141" s="4">
        <f>IF(K141&lt;&gt;"Yes",0,IF(Sales_Tax_Settings!$B$6="Yes",E141/(1+Sales_Tax_Settings!$B$10),E141))</f>
        <v>0</v>
      </c>
      <c r="Q141" s="4">
        <f>IF(K141&lt;&gt;"Yes",0,P141*Sales_Tax_Settings!$B$8)</f>
        <v>0</v>
      </c>
      <c r="R141" s="4">
        <f>IF(K141&lt;&gt;"Yes",0,P141*Sales_Tax_Settings!$B$9)</f>
        <v>0</v>
      </c>
      <c r="S141" s="4">
        <f t="shared" si="20"/>
        <v>0</v>
      </c>
    </row>
    <row r="142" spans="1:19" x14ac:dyDescent="0.3">
      <c r="A142" t="str">
        <f>IF(Expense_Input!A142="","",Expense_Input!A142)</f>
        <v/>
      </c>
      <c r="B142" t="str">
        <f>IF(Expense_Input!B142="","",Expense_Input!B142)</f>
        <v/>
      </c>
      <c r="C142" t="str">
        <f t="shared" si="14"/>
        <v/>
      </c>
      <c r="D142" t="str">
        <f>IF(Expense_Input!C142="","",Expense_Input!C142)</f>
        <v/>
      </c>
      <c r="E142" s="4" t="str">
        <f>IF(Expense_Input!D142="","",Expense_Input!D142)</f>
        <v/>
      </c>
      <c r="F142" t="str">
        <f>IF(Expense_Input!E142="","",Expense_Input!E142)</f>
        <v/>
      </c>
      <c r="G142" t="str">
        <f>IF(Expense_Input!H142="","",Expense_Input!H142)</f>
        <v/>
      </c>
      <c r="H142" t="str">
        <f>IF(Expense_Input!I142="","Auto",Expense_Input!I142)</f>
        <v>Auto</v>
      </c>
      <c r="I142" t="str">
        <f>IF(F142="","",IFERROR(VLOOKUP(F142,Sales_Tax_Settings!$A$15:$B$27,2,FALSE),"Tax Unknown"))</f>
        <v/>
      </c>
      <c r="J142" t="str">
        <f t="shared" si="15"/>
        <v/>
      </c>
      <c r="K142" t="str">
        <f>IF(AND(Sales_Tax_Settings!$B$5="Yes",G142="Personal Expense",J142="Taxable"),"Yes","No")</f>
        <v>No</v>
      </c>
      <c r="L142" s="4">
        <f t="shared" si="16"/>
        <v>0</v>
      </c>
      <c r="M142" s="4">
        <f t="shared" si="17"/>
        <v>0</v>
      </c>
      <c r="N142" s="4">
        <f t="shared" si="18"/>
        <v>0</v>
      </c>
      <c r="O142" s="4">
        <f t="shared" si="19"/>
        <v>0</v>
      </c>
      <c r="P142" s="4">
        <f>IF(K142&lt;&gt;"Yes",0,IF(Sales_Tax_Settings!$B$6="Yes",E142/(1+Sales_Tax_Settings!$B$10),E142))</f>
        <v>0</v>
      </c>
      <c r="Q142" s="4">
        <f>IF(K142&lt;&gt;"Yes",0,P142*Sales_Tax_Settings!$B$8)</f>
        <v>0</v>
      </c>
      <c r="R142" s="4">
        <f>IF(K142&lt;&gt;"Yes",0,P142*Sales_Tax_Settings!$B$9)</f>
        <v>0</v>
      </c>
      <c r="S142" s="4">
        <f t="shared" si="20"/>
        <v>0</v>
      </c>
    </row>
    <row r="143" spans="1:19" x14ac:dyDescent="0.3">
      <c r="A143" t="str">
        <f>IF(Expense_Input!A143="","",Expense_Input!A143)</f>
        <v/>
      </c>
      <c r="B143" t="str">
        <f>IF(Expense_Input!B143="","",Expense_Input!B143)</f>
        <v/>
      </c>
      <c r="C143" t="str">
        <f t="shared" si="14"/>
        <v/>
      </c>
      <c r="D143" t="str">
        <f>IF(Expense_Input!C143="","",Expense_Input!C143)</f>
        <v/>
      </c>
      <c r="E143" s="4" t="str">
        <f>IF(Expense_Input!D143="","",Expense_Input!D143)</f>
        <v/>
      </c>
      <c r="F143" t="str">
        <f>IF(Expense_Input!E143="","",Expense_Input!E143)</f>
        <v/>
      </c>
      <c r="G143" t="str">
        <f>IF(Expense_Input!H143="","",Expense_Input!H143)</f>
        <v/>
      </c>
      <c r="H143" t="str">
        <f>IF(Expense_Input!I143="","Auto",Expense_Input!I143)</f>
        <v>Auto</v>
      </c>
      <c r="I143" t="str">
        <f>IF(F143="","",IFERROR(VLOOKUP(F143,Sales_Tax_Settings!$A$15:$B$27,2,FALSE),"Tax Unknown"))</f>
        <v/>
      </c>
      <c r="J143" t="str">
        <f t="shared" si="15"/>
        <v/>
      </c>
      <c r="K143" t="str">
        <f>IF(AND(Sales_Tax_Settings!$B$5="Yes",G143="Personal Expense",J143="Taxable"),"Yes","No")</f>
        <v>No</v>
      </c>
      <c r="L143" s="4">
        <f t="shared" si="16"/>
        <v>0</v>
      </c>
      <c r="M143" s="4">
        <f t="shared" si="17"/>
        <v>0</v>
      </c>
      <c r="N143" s="4">
        <f t="shared" si="18"/>
        <v>0</v>
      </c>
      <c r="O143" s="4">
        <f t="shared" si="19"/>
        <v>0</v>
      </c>
      <c r="P143" s="4">
        <f>IF(K143&lt;&gt;"Yes",0,IF(Sales_Tax_Settings!$B$6="Yes",E143/(1+Sales_Tax_Settings!$B$10),E143))</f>
        <v>0</v>
      </c>
      <c r="Q143" s="4">
        <f>IF(K143&lt;&gt;"Yes",0,P143*Sales_Tax_Settings!$B$8)</f>
        <v>0</v>
      </c>
      <c r="R143" s="4">
        <f>IF(K143&lt;&gt;"Yes",0,P143*Sales_Tax_Settings!$B$9)</f>
        <v>0</v>
      </c>
      <c r="S143" s="4">
        <f t="shared" si="20"/>
        <v>0</v>
      </c>
    </row>
    <row r="144" spans="1:19" x14ac:dyDescent="0.3">
      <c r="A144" t="str">
        <f>IF(Expense_Input!A144="","",Expense_Input!A144)</f>
        <v/>
      </c>
      <c r="B144" t="str">
        <f>IF(Expense_Input!B144="","",Expense_Input!B144)</f>
        <v/>
      </c>
      <c r="C144" t="str">
        <f t="shared" si="14"/>
        <v/>
      </c>
      <c r="D144" t="str">
        <f>IF(Expense_Input!C144="","",Expense_Input!C144)</f>
        <v/>
      </c>
      <c r="E144" s="4" t="str">
        <f>IF(Expense_Input!D144="","",Expense_Input!D144)</f>
        <v/>
      </c>
      <c r="F144" t="str">
        <f>IF(Expense_Input!E144="","",Expense_Input!E144)</f>
        <v/>
      </c>
      <c r="G144" t="str">
        <f>IF(Expense_Input!H144="","",Expense_Input!H144)</f>
        <v/>
      </c>
      <c r="H144" t="str">
        <f>IF(Expense_Input!I144="","Auto",Expense_Input!I144)</f>
        <v>Auto</v>
      </c>
      <c r="I144" t="str">
        <f>IF(F144="","",IFERROR(VLOOKUP(F144,Sales_Tax_Settings!$A$15:$B$27,2,FALSE),"Tax Unknown"))</f>
        <v/>
      </c>
      <c r="J144" t="str">
        <f t="shared" si="15"/>
        <v/>
      </c>
      <c r="K144" t="str">
        <f>IF(AND(Sales_Tax_Settings!$B$5="Yes",G144="Personal Expense",J144="Taxable"),"Yes","No")</f>
        <v>No</v>
      </c>
      <c r="L144" s="4">
        <f t="shared" si="16"/>
        <v>0</v>
      </c>
      <c r="M144" s="4">
        <f t="shared" si="17"/>
        <v>0</v>
      </c>
      <c r="N144" s="4">
        <f t="shared" si="18"/>
        <v>0</v>
      </c>
      <c r="O144" s="4">
        <f t="shared" si="19"/>
        <v>0</v>
      </c>
      <c r="P144" s="4">
        <f>IF(K144&lt;&gt;"Yes",0,IF(Sales_Tax_Settings!$B$6="Yes",E144/(1+Sales_Tax_Settings!$B$10),E144))</f>
        <v>0</v>
      </c>
      <c r="Q144" s="4">
        <f>IF(K144&lt;&gt;"Yes",0,P144*Sales_Tax_Settings!$B$8)</f>
        <v>0</v>
      </c>
      <c r="R144" s="4">
        <f>IF(K144&lt;&gt;"Yes",0,P144*Sales_Tax_Settings!$B$9)</f>
        <v>0</v>
      </c>
      <c r="S144" s="4">
        <f t="shared" si="20"/>
        <v>0</v>
      </c>
    </row>
    <row r="145" spans="1:19" x14ac:dyDescent="0.3">
      <c r="A145" t="str">
        <f>IF(Expense_Input!A145="","",Expense_Input!A145)</f>
        <v/>
      </c>
      <c r="B145" t="str">
        <f>IF(Expense_Input!B145="","",Expense_Input!B145)</f>
        <v/>
      </c>
      <c r="C145" t="str">
        <f t="shared" si="14"/>
        <v/>
      </c>
      <c r="D145" t="str">
        <f>IF(Expense_Input!C145="","",Expense_Input!C145)</f>
        <v/>
      </c>
      <c r="E145" s="4" t="str">
        <f>IF(Expense_Input!D145="","",Expense_Input!D145)</f>
        <v/>
      </c>
      <c r="F145" t="str">
        <f>IF(Expense_Input!E145="","",Expense_Input!E145)</f>
        <v/>
      </c>
      <c r="G145" t="str">
        <f>IF(Expense_Input!H145="","",Expense_Input!H145)</f>
        <v/>
      </c>
      <c r="H145" t="str">
        <f>IF(Expense_Input!I145="","Auto",Expense_Input!I145)</f>
        <v>Auto</v>
      </c>
      <c r="I145" t="str">
        <f>IF(F145="","",IFERROR(VLOOKUP(F145,Sales_Tax_Settings!$A$15:$B$27,2,FALSE),"Tax Unknown"))</f>
        <v/>
      </c>
      <c r="J145" t="str">
        <f t="shared" si="15"/>
        <v/>
      </c>
      <c r="K145" t="str">
        <f>IF(AND(Sales_Tax_Settings!$B$5="Yes",G145="Personal Expense",J145="Taxable"),"Yes","No")</f>
        <v>No</v>
      </c>
      <c r="L145" s="4">
        <f t="shared" si="16"/>
        <v>0</v>
      </c>
      <c r="M145" s="4">
        <f t="shared" si="17"/>
        <v>0</v>
      </c>
      <c r="N145" s="4">
        <f t="shared" si="18"/>
        <v>0</v>
      </c>
      <c r="O145" s="4">
        <f t="shared" si="19"/>
        <v>0</v>
      </c>
      <c r="P145" s="4">
        <f>IF(K145&lt;&gt;"Yes",0,IF(Sales_Tax_Settings!$B$6="Yes",E145/(1+Sales_Tax_Settings!$B$10),E145))</f>
        <v>0</v>
      </c>
      <c r="Q145" s="4">
        <f>IF(K145&lt;&gt;"Yes",0,P145*Sales_Tax_Settings!$B$8)</f>
        <v>0</v>
      </c>
      <c r="R145" s="4">
        <f>IF(K145&lt;&gt;"Yes",0,P145*Sales_Tax_Settings!$B$9)</f>
        <v>0</v>
      </c>
      <c r="S145" s="4">
        <f t="shared" si="20"/>
        <v>0</v>
      </c>
    </row>
    <row r="146" spans="1:19" x14ac:dyDescent="0.3">
      <c r="A146" t="str">
        <f>IF(Expense_Input!A146="","",Expense_Input!A146)</f>
        <v/>
      </c>
      <c r="B146" t="str">
        <f>IF(Expense_Input!B146="","",Expense_Input!B146)</f>
        <v/>
      </c>
      <c r="C146" t="str">
        <f t="shared" si="14"/>
        <v/>
      </c>
      <c r="D146" t="str">
        <f>IF(Expense_Input!C146="","",Expense_Input!C146)</f>
        <v/>
      </c>
      <c r="E146" s="4" t="str">
        <f>IF(Expense_Input!D146="","",Expense_Input!D146)</f>
        <v/>
      </c>
      <c r="F146" t="str">
        <f>IF(Expense_Input!E146="","",Expense_Input!E146)</f>
        <v/>
      </c>
      <c r="G146" t="str">
        <f>IF(Expense_Input!H146="","",Expense_Input!H146)</f>
        <v/>
      </c>
      <c r="H146" t="str">
        <f>IF(Expense_Input!I146="","Auto",Expense_Input!I146)</f>
        <v>Auto</v>
      </c>
      <c r="I146" t="str">
        <f>IF(F146="","",IFERROR(VLOOKUP(F146,Sales_Tax_Settings!$A$15:$B$27,2,FALSE),"Tax Unknown"))</f>
        <v/>
      </c>
      <c r="J146" t="str">
        <f t="shared" si="15"/>
        <v/>
      </c>
      <c r="K146" t="str">
        <f>IF(AND(Sales_Tax_Settings!$B$5="Yes",G146="Personal Expense",J146="Taxable"),"Yes","No")</f>
        <v>No</v>
      </c>
      <c r="L146" s="4">
        <f t="shared" si="16"/>
        <v>0</v>
      </c>
      <c r="M146" s="4">
        <f t="shared" si="17"/>
        <v>0</v>
      </c>
      <c r="N146" s="4">
        <f t="shared" si="18"/>
        <v>0</v>
      </c>
      <c r="O146" s="4">
        <f t="shared" si="19"/>
        <v>0</v>
      </c>
      <c r="P146" s="4">
        <f>IF(K146&lt;&gt;"Yes",0,IF(Sales_Tax_Settings!$B$6="Yes",E146/(1+Sales_Tax_Settings!$B$10),E146))</f>
        <v>0</v>
      </c>
      <c r="Q146" s="4">
        <f>IF(K146&lt;&gt;"Yes",0,P146*Sales_Tax_Settings!$B$8)</f>
        <v>0</v>
      </c>
      <c r="R146" s="4">
        <f>IF(K146&lt;&gt;"Yes",0,P146*Sales_Tax_Settings!$B$9)</f>
        <v>0</v>
      </c>
      <c r="S146" s="4">
        <f t="shared" si="20"/>
        <v>0</v>
      </c>
    </row>
    <row r="147" spans="1:19" x14ac:dyDescent="0.3">
      <c r="A147" t="str">
        <f>IF(Expense_Input!A147="","",Expense_Input!A147)</f>
        <v/>
      </c>
      <c r="B147" t="str">
        <f>IF(Expense_Input!B147="","",Expense_Input!B147)</f>
        <v/>
      </c>
      <c r="C147" t="str">
        <f t="shared" si="14"/>
        <v/>
      </c>
      <c r="D147" t="str">
        <f>IF(Expense_Input!C147="","",Expense_Input!C147)</f>
        <v/>
      </c>
      <c r="E147" s="4" t="str">
        <f>IF(Expense_Input!D147="","",Expense_Input!D147)</f>
        <v/>
      </c>
      <c r="F147" t="str">
        <f>IF(Expense_Input!E147="","",Expense_Input!E147)</f>
        <v/>
      </c>
      <c r="G147" t="str">
        <f>IF(Expense_Input!H147="","",Expense_Input!H147)</f>
        <v/>
      </c>
      <c r="H147" t="str">
        <f>IF(Expense_Input!I147="","Auto",Expense_Input!I147)</f>
        <v>Auto</v>
      </c>
      <c r="I147" t="str">
        <f>IF(F147="","",IFERROR(VLOOKUP(F147,Sales_Tax_Settings!$A$15:$B$27,2,FALSE),"Tax Unknown"))</f>
        <v/>
      </c>
      <c r="J147" t="str">
        <f t="shared" si="15"/>
        <v/>
      </c>
      <c r="K147" t="str">
        <f>IF(AND(Sales_Tax_Settings!$B$5="Yes",G147="Personal Expense",J147="Taxable"),"Yes","No")</f>
        <v>No</v>
      </c>
      <c r="L147" s="4">
        <f t="shared" si="16"/>
        <v>0</v>
      </c>
      <c r="M147" s="4">
        <f t="shared" si="17"/>
        <v>0</v>
      </c>
      <c r="N147" s="4">
        <f t="shared" si="18"/>
        <v>0</v>
      </c>
      <c r="O147" s="4">
        <f t="shared" si="19"/>
        <v>0</v>
      </c>
      <c r="P147" s="4">
        <f>IF(K147&lt;&gt;"Yes",0,IF(Sales_Tax_Settings!$B$6="Yes",E147/(1+Sales_Tax_Settings!$B$10),E147))</f>
        <v>0</v>
      </c>
      <c r="Q147" s="4">
        <f>IF(K147&lt;&gt;"Yes",0,P147*Sales_Tax_Settings!$B$8)</f>
        <v>0</v>
      </c>
      <c r="R147" s="4">
        <f>IF(K147&lt;&gt;"Yes",0,P147*Sales_Tax_Settings!$B$9)</f>
        <v>0</v>
      </c>
      <c r="S147" s="4">
        <f t="shared" si="20"/>
        <v>0</v>
      </c>
    </row>
    <row r="148" spans="1:19" x14ac:dyDescent="0.3">
      <c r="A148" t="str">
        <f>IF(Expense_Input!A148="","",Expense_Input!A148)</f>
        <v/>
      </c>
      <c r="B148" t="str">
        <f>IF(Expense_Input!B148="","",Expense_Input!B148)</f>
        <v/>
      </c>
      <c r="C148" t="str">
        <f t="shared" si="14"/>
        <v/>
      </c>
      <c r="D148" t="str">
        <f>IF(Expense_Input!C148="","",Expense_Input!C148)</f>
        <v/>
      </c>
      <c r="E148" s="4" t="str">
        <f>IF(Expense_Input!D148="","",Expense_Input!D148)</f>
        <v/>
      </c>
      <c r="F148" t="str">
        <f>IF(Expense_Input!E148="","",Expense_Input!E148)</f>
        <v/>
      </c>
      <c r="G148" t="str">
        <f>IF(Expense_Input!H148="","",Expense_Input!H148)</f>
        <v/>
      </c>
      <c r="H148" t="str">
        <f>IF(Expense_Input!I148="","Auto",Expense_Input!I148)</f>
        <v>Auto</v>
      </c>
      <c r="I148" t="str">
        <f>IF(F148="","",IFERROR(VLOOKUP(F148,Sales_Tax_Settings!$A$15:$B$27,2,FALSE),"Tax Unknown"))</f>
        <v/>
      </c>
      <c r="J148" t="str">
        <f t="shared" si="15"/>
        <v/>
      </c>
      <c r="K148" t="str">
        <f>IF(AND(Sales_Tax_Settings!$B$5="Yes",G148="Personal Expense",J148="Taxable"),"Yes","No")</f>
        <v>No</v>
      </c>
      <c r="L148" s="4">
        <f t="shared" si="16"/>
        <v>0</v>
      </c>
      <c r="M148" s="4">
        <f t="shared" si="17"/>
        <v>0</v>
      </c>
      <c r="N148" s="4">
        <f t="shared" si="18"/>
        <v>0</v>
      </c>
      <c r="O148" s="4">
        <f t="shared" si="19"/>
        <v>0</v>
      </c>
      <c r="P148" s="4">
        <f>IF(K148&lt;&gt;"Yes",0,IF(Sales_Tax_Settings!$B$6="Yes",E148/(1+Sales_Tax_Settings!$B$10),E148))</f>
        <v>0</v>
      </c>
      <c r="Q148" s="4">
        <f>IF(K148&lt;&gt;"Yes",0,P148*Sales_Tax_Settings!$B$8)</f>
        <v>0</v>
      </c>
      <c r="R148" s="4">
        <f>IF(K148&lt;&gt;"Yes",0,P148*Sales_Tax_Settings!$B$9)</f>
        <v>0</v>
      </c>
      <c r="S148" s="4">
        <f t="shared" si="20"/>
        <v>0</v>
      </c>
    </row>
    <row r="149" spans="1:19" x14ac:dyDescent="0.3">
      <c r="A149" t="str">
        <f>IF(Expense_Input!A149="","",Expense_Input!A149)</f>
        <v/>
      </c>
      <c r="B149" t="str">
        <f>IF(Expense_Input!B149="","",Expense_Input!B149)</f>
        <v/>
      </c>
      <c r="C149" t="str">
        <f t="shared" si="14"/>
        <v/>
      </c>
      <c r="D149" t="str">
        <f>IF(Expense_Input!C149="","",Expense_Input!C149)</f>
        <v/>
      </c>
      <c r="E149" s="4" t="str">
        <f>IF(Expense_Input!D149="","",Expense_Input!D149)</f>
        <v/>
      </c>
      <c r="F149" t="str">
        <f>IF(Expense_Input!E149="","",Expense_Input!E149)</f>
        <v/>
      </c>
      <c r="G149" t="str">
        <f>IF(Expense_Input!H149="","",Expense_Input!H149)</f>
        <v/>
      </c>
      <c r="H149" t="str">
        <f>IF(Expense_Input!I149="","Auto",Expense_Input!I149)</f>
        <v>Auto</v>
      </c>
      <c r="I149" t="str">
        <f>IF(F149="","",IFERROR(VLOOKUP(F149,Sales_Tax_Settings!$A$15:$B$27,2,FALSE),"Tax Unknown"))</f>
        <v/>
      </c>
      <c r="J149" t="str">
        <f t="shared" si="15"/>
        <v/>
      </c>
      <c r="K149" t="str">
        <f>IF(AND(Sales_Tax_Settings!$B$5="Yes",G149="Personal Expense",J149="Taxable"),"Yes","No")</f>
        <v>No</v>
      </c>
      <c r="L149" s="4">
        <f t="shared" si="16"/>
        <v>0</v>
      </c>
      <c r="M149" s="4">
        <f t="shared" si="17"/>
        <v>0</v>
      </c>
      <c r="N149" s="4">
        <f t="shared" si="18"/>
        <v>0</v>
      </c>
      <c r="O149" s="4">
        <f t="shared" si="19"/>
        <v>0</v>
      </c>
      <c r="P149" s="4">
        <f>IF(K149&lt;&gt;"Yes",0,IF(Sales_Tax_Settings!$B$6="Yes",E149/(1+Sales_Tax_Settings!$B$10),E149))</f>
        <v>0</v>
      </c>
      <c r="Q149" s="4">
        <f>IF(K149&lt;&gt;"Yes",0,P149*Sales_Tax_Settings!$B$8)</f>
        <v>0</v>
      </c>
      <c r="R149" s="4">
        <f>IF(K149&lt;&gt;"Yes",0,P149*Sales_Tax_Settings!$B$9)</f>
        <v>0</v>
      </c>
      <c r="S149" s="4">
        <f t="shared" si="20"/>
        <v>0</v>
      </c>
    </row>
    <row r="150" spans="1:19" x14ac:dyDescent="0.3">
      <c r="A150" t="str">
        <f>IF(Expense_Input!A150="","",Expense_Input!A150)</f>
        <v/>
      </c>
      <c r="B150" t="str">
        <f>IF(Expense_Input!B150="","",Expense_Input!B150)</f>
        <v/>
      </c>
      <c r="C150" t="str">
        <f t="shared" si="14"/>
        <v/>
      </c>
      <c r="D150" t="str">
        <f>IF(Expense_Input!C150="","",Expense_Input!C150)</f>
        <v/>
      </c>
      <c r="E150" s="4" t="str">
        <f>IF(Expense_Input!D150="","",Expense_Input!D150)</f>
        <v/>
      </c>
      <c r="F150" t="str">
        <f>IF(Expense_Input!E150="","",Expense_Input!E150)</f>
        <v/>
      </c>
      <c r="G150" t="str">
        <f>IF(Expense_Input!H150="","",Expense_Input!H150)</f>
        <v/>
      </c>
      <c r="H150" t="str">
        <f>IF(Expense_Input!I150="","Auto",Expense_Input!I150)</f>
        <v>Auto</v>
      </c>
      <c r="I150" t="str">
        <f>IF(F150="","",IFERROR(VLOOKUP(F150,Sales_Tax_Settings!$A$15:$B$27,2,FALSE),"Tax Unknown"))</f>
        <v/>
      </c>
      <c r="J150" t="str">
        <f t="shared" si="15"/>
        <v/>
      </c>
      <c r="K150" t="str">
        <f>IF(AND(Sales_Tax_Settings!$B$5="Yes",G150="Personal Expense",J150="Taxable"),"Yes","No")</f>
        <v>No</v>
      </c>
      <c r="L150" s="4">
        <f t="shared" si="16"/>
        <v>0</v>
      </c>
      <c r="M150" s="4">
        <f t="shared" si="17"/>
        <v>0</v>
      </c>
      <c r="N150" s="4">
        <f t="shared" si="18"/>
        <v>0</v>
      </c>
      <c r="O150" s="4">
        <f t="shared" si="19"/>
        <v>0</v>
      </c>
      <c r="P150" s="4">
        <f>IF(K150&lt;&gt;"Yes",0,IF(Sales_Tax_Settings!$B$6="Yes",E150/(1+Sales_Tax_Settings!$B$10),E150))</f>
        <v>0</v>
      </c>
      <c r="Q150" s="4">
        <f>IF(K150&lt;&gt;"Yes",0,P150*Sales_Tax_Settings!$B$8)</f>
        <v>0</v>
      </c>
      <c r="R150" s="4">
        <f>IF(K150&lt;&gt;"Yes",0,P150*Sales_Tax_Settings!$B$9)</f>
        <v>0</v>
      </c>
      <c r="S150" s="4">
        <f t="shared" si="20"/>
        <v>0</v>
      </c>
    </row>
    <row r="151" spans="1:19" x14ac:dyDescent="0.3">
      <c r="A151" t="str">
        <f>IF(Expense_Input!A151="","",Expense_Input!A151)</f>
        <v/>
      </c>
      <c r="B151" t="str">
        <f>IF(Expense_Input!B151="","",Expense_Input!B151)</f>
        <v/>
      </c>
      <c r="C151" t="str">
        <f t="shared" si="14"/>
        <v/>
      </c>
      <c r="D151" t="str">
        <f>IF(Expense_Input!C151="","",Expense_Input!C151)</f>
        <v/>
      </c>
      <c r="E151" s="4" t="str">
        <f>IF(Expense_Input!D151="","",Expense_Input!D151)</f>
        <v/>
      </c>
      <c r="F151" t="str">
        <f>IF(Expense_Input!E151="","",Expense_Input!E151)</f>
        <v/>
      </c>
      <c r="G151" t="str">
        <f>IF(Expense_Input!H151="","",Expense_Input!H151)</f>
        <v/>
      </c>
      <c r="H151" t="str">
        <f>IF(Expense_Input!I151="","Auto",Expense_Input!I151)</f>
        <v>Auto</v>
      </c>
      <c r="I151" t="str">
        <f>IF(F151="","",IFERROR(VLOOKUP(F151,Sales_Tax_Settings!$A$15:$B$27,2,FALSE),"Tax Unknown"))</f>
        <v/>
      </c>
      <c r="J151" t="str">
        <f t="shared" si="15"/>
        <v/>
      </c>
      <c r="K151" t="str">
        <f>IF(AND(Sales_Tax_Settings!$B$5="Yes",G151="Personal Expense",J151="Taxable"),"Yes","No")</f>
        <v>No</v>
      </c>
      <c r="L151" s="4">
        <f t="shared" si="16"/>
        <v>0</v>
      </c>
      <c r="M151" s="4">
        <f t="shared" si="17"/>
        <v>0</v>
      </c>
      <c r="N151" s="4">
        <f t="shared" si="18"/>
        <v>0</v>
      </c>
      <c r="O151" s="4">
        <f t="shared" si="19"/>
        <v>0</v>
      </c>
      <c r="P151" s="4">
        <f>IF(K151&lt;&gt;"Yes",0,IF(Sales_Tax_Settings!$B$6="Yes",E151/(1+Sales_Tax_Settings!$B$10),E151))</f>
        <v>0</v>
      </c>
      <c r="Q151" s="4">
        <f>IF(K151&lt;&gt;"Yes",0,P151*Sales_Tax_Settings!$B$8)</f>
        <v>0</v>
      </c>
      <c r="R151" s="4">
        <f>IF(K151&lt;&gt;"Yes",0,P151*Sales_Tax_Settings!$B$9)</f>
        <v>0</v>
      </c>
      <c r="S151" s="4">
        <f t="shared" si="20"/>
        <v>0</v>
      </c>
    </row>
    <row r="152" spans="1:19" x14ac:dyDescent="0.3">
      <c r="A152" t="str">
        <f>IF(Expense_Input!A152="","",Expense_Input!A152)</f>
        <v/>
      </c>
      <c r="B152" t="str">
        <f>IF(Expense_Input!B152="","",Expense_Input!B152)</f>
        <v/>
      </c>
      <c r="C152" t="str">
        <f t="shared" si="14"/>
        <v/>
      </c>
      <c r="D152" t="str">
        <f>IF(Expense_Input!C152="","",Expense_Input!C152)</f>
        <v/>
      </c>
      <c r="E152" s="4" t="str">
        <f>IF(Expense_Input!D152="","",Expense_Input!D152)</f>
        <v/>
      </c>
      <c r="F152" t="str">
        <f>IF(Expense_Input!E152="","",Expense_Input!E152)</f>
        <v/>
      </c>
      <c r="G152" t="str">
        <f>IF(Expense_Input!H152="","",Expense_Input!H152)</f>
        <v/>
      </c>
      <c r="H152" t="str">
        <f>IF(Expense_Input!I152="","Auto",Expense_Input!I152)</f>
        <v>Auto</v>
      </c>
      <c r="I152" t="str">
        <f>IF(F152="","",IFERROR(VLOOKUP(F152,Sales_Tax_Settings!$A$15:$B$27,2,FALSE),"Tax Unknown"))</f>
        <v/>
      </c>
      <c r="J152" t="str">
        <f t="shared" si="15"/>
        <v/>
      </c>
      <c r="K152" t="str">
        <f>IF(AND(Sales_Tax_Settings!$B$5="Yes",G152="Personal Expense",J152="Taxable"),"Yes","No")</f>
        <v>No</v>
      </c>
      <c r="L152" s="4">
        <f t="shared" si="16"/>
        <v>0</v>
      </c>
      <c r="M152" s="4">
        <f t="shared" si="17"/>
        <v>0</v>
      </c>
      <c r="N152" s="4">
        <f t="shared" si="18"/>
        <v>0</v>
      </c>
      <c r="O152" s="4">
        <f t="shared" si="19"/>
        <v>0</v>
      </c>
      <c r="P152" s="4">
        <f>IF(K152&lt;&gt;"Yes",0,IF(Sales_Tax_Settings!$B$6="Yes",E152/(1+Sales_Tax_Settings!$B$10),E152))</f>
        <v>0</v>
      </c>
      <c r="Q152" s="4">
        <f>IF(K152&lt;&gt;"Yes",0,P152*Sales_Tax_Settings!$B$8)</f>
        <v>0</v>
      </c>
      <c r="R152" s="4">
        <f>IF(K152&lt;&gt;"Yes",0,P152*Sales_Tax_Settings!$B$9)</f>
        <v>0</v>
      </c>
      <c r="S152" s="4">
        <f t="shared" si="20"/>
        <v>0</v>
      </c>
    </row>
    <row r="153" spans="1:19" x14ac:dyDescent="0.3">
      <c r="A153" t="str">
        <f>IF(Expense_Input!A153="","",Expense_Input!A153)</f>
        <v/>
      </c>
      <c r="B153" t="str">
        <f>IF(Expense_Input!B153="","",Expense_Input!B153)</f>
        <v/>
      </c>
      <c r="C153" t="str">
        <f t="shared" si="14"/>
        <v/>
      </c>
      <c r="D153" t="str">
        <f>IF(Expense_Input!C153="","",Expense_Input!C153)</f>
        <v/>
      </c>
      <c r="E153" s="4" t="str">
        <f>IF(Expense_Input!D153="","",Expense_Input!D153)</f>
        <v/>
      </c>
      <c r="F153" t="str">
        <f>IF(Expense_Input!E153="","",Expense_Input!E153)</f>
        <v/>
      </c>
      <c r="G153" t="str">
        <f>IF(Expense_Input!H153="","",Expense_Input!H153)</f>
        <v/>
      </c>
      <c r="H153" t="str">
        <f>IF(Expense_Input!I153="","Auto",Expense_Input!I153)</f>
        <v>Auto</v>
      </c>
      <c r="I153" t="str">
        <f>IF(F153="","",IFERROR(VLOOKUP(F153,Sales_Tax_Settings!$A$15:$B$27,2,FALSE),"Tax Unknown"))</f>
        <v/>
      </c>
      <c r="J153" t="str">
        <f t="shared" si="15"/>
        <v/>
      </c>
      <c r="K153" t="str">
        <f>IF(AND(Sales_Tax_Settings!$B$5="Yes",G153="Personal Expense",J153="Taxable"),"Yes","No")</f>
        <v>No</v>
      </c>
      <c r="L153" s="4">
        <f t="shared" si="16"/>
        <v>0</v>
      </c>
      <c r="M153" s="4">
        <f t="shared" si="17"/>
        <v>0</v>
      </c>
      <c r="N153" s="4">
        <f t="shared" si="18"/>
        <v>0</v>
      </c>
      <c r="O153" s="4">
        <f t="shared" si="19"/>
        <v>0</v>
      </c>
      <c r="P153" s="4">
        <f>IF(K153&lt;&gt;"Yes",0,IF(Sales_Tax_Settings!$B$6="Yes",E153/(1+Sales_Tax_Settings!$B$10),E153))</f>
        <v>0</v>
      </c>
      <c r="Q153" s="4">
        <f>IF(K153&lt;&gt;"Yes",0,P153*Sales_Tax_Settings!$B$8)</f>
        <v>0</v>
      </c>
      <c r="R153" s="4">
        <f>IF(K153&lt;&gt;"Yes",0,P153*Sales_Tax_Settings!$B$9)</f>
        <v>0</v>
      </c>
      <c r="S153" s="4">
        <f t="shared" si="20"/>
        <v>0</v>
      </c>
    </row>
    <row r="154" spans="1:19" x14ac:dyDescent="0.3">
      <c r="A154" t="str">
        <f>IF(Expense_Input!A154="","",Expense_Input!A154)</f>
        <v/>
      </c>
      <c r="B154" t="str">
        <f>IF(Expense_Input!B154="","",Expense_Input!B154)</f>
        <v/>
      </c>
      <c r="C154" t="str">
        <f t="shared" si="14"/>
        <v/>
      </c>
      <c r="D154" t="str">
        <f>IF(Expense_Input!C154="","",Expense_Input!C154)</f>
        <v/>
      </c>
      <c r="E154" s="4" t="str">
        <f>IF(Expense_Input!D154="","",Expense_Input!D154)</f>
        <v/>
      </c>
      <c r="F154" t="str">
        <f>IF(Expense_Input!E154="","",Expense_Input!E154)</f>
        <v/>
      </c>
      <c r="G154" t="str">
        <f>IF(Expense_Input!H154="","",Expense_Input!H154)</f>
        <v/>
      </c>
      <c r="H154" t="str">
        <f>IF(Expense_Input!I154="","Auto",Expense_Input!I154)</f>
        <v>Auto</v>
      </c>
      <c r="I154" t="str">
        <f>IF(F154="","",IFERROR(VLOOKUP(F154,Sales_Tax_Settings!$A$15:$B$27,2,FALSE),"Tax Unknown"))</f>
        <v/>
      </c>
      <c r="J154" t="str">
        <f t="shared" si="15"/>
        <v/>
      </c>
      <c r="K154" t="str">
        <f>IF(AND(Sales_Tax_Settings!$B$5="Yes",G154="Personal Expense",J154="Taxable"),"Yes","No")</f>
        <v>No</v>
      </c>
      <c r="L154" s="4">
        <f t="shared" si="16"/>
        <v>0</v>
      </c>
      <c r="M154" s="4">
        <f t="shared" si="17"/>
        <v>0</v>
      </c>
      <c r="N154" s="4">
        <f t="shared" si="18"/>
        <v>0</v>
      </c>
      <c r="O154" s="4">
        <f t="shared" si="19"/>
        <v>0</v>
      </c>
      <c r="P154" s="4">
        <f>IF(K154&lt;&gt;"Yes",0,IF(Sales_Tax_Settings!$B$6="Yes",E154/(1+Sales_Tax_Settings!$B$10),E154))</f>
        <v>0</v>
      </c>
      <c r="Q154" s="4">
        <f>IF(K154&lt;&gt;"Yes",0,P154*Sales_Tax_Settings!$B$8)</f>
        <v>0</v>
      </c>
      <c r="R154" s="4">
        <f>IF(K154&lt;&gt;"Yes",0,P154*Sales_Tax_Settings!$B$9)</f>
        <v>0</v>
      </c>
      <c r="S154" s="4">
        <f t="shared" si="20"/>
        <v>0</v>
      </c>
    </row>
    <row r="155" spans="1:19" x14ac:dyDescent="0.3">
      <c r="A155" t="str">
        <f>IF(Expense_Input!A155="","",Expense_Input!A155)</f>
        <v/>
      </c>
      <c r="B155" t="str">
        <f>IF(Expense_Input!B155="","",Expense_Input!B155)</f>
        <v/>
      </c>
      <c r="C155" t="str">
        <f t="shared" si="14"/>
        <v/>
      </c>
      <c r="D155" t="str">
        <f>IF(Expense_Input!C155="","",Expense_Input!C155)</f>
        <v/>
      </c>
      <c r="E155" s="4" t="str">
        <f>IF(Expense_Input!D155="","",Expense_Input!D155)</f>
        <v/>
      </c>
      <c r="F155" t="str">
        <f>IF(Expense_Input!E155="","",Expense_Input!E155)</f>
        <v/>
      </c>
      <c r="G155" t="str">
        <f>IF(Expense_Input!H155="","",Expense_Input!H155)</f>
        <v/>
      </c>
      <c r="H155" t="str">
        <f>IF(Expense_Input!I155="","Auto",Expense_Input!I155)</f>
        <v>Auto</v>
      </c>
      <c r="I155" t="str">
        <f>IF(F155="","",IFERROR(VLOOKUP(F155,Sales_Tax_Settings!$A$15:$B$27,2,FALSE),"Tax Unknown"))</f>
        <v/>
      </c>
      <c r="J155" t="str">
        <f t="shared" si="15"/>
        <v/>
      </c>
      <c r="K155" t="str">
        <f>IF(AND(Sales_Tax_Settings!$B$5="Yes",G155="Personal Expense",J155="Taxable"),"Yes","No")</f>
        <v>No</v>
      </c>
      <c r="L155" s="4">
        <f t="shared" si="16"/>
        <v>0</v>
      </c>
      <c r="M155" s="4">
        <f t="shared" si="17"/>
        <v>0</v>
      </c>
      <c r="N155" s="4">
        <f t="shared" si="18"/>
        <v>0</v>
      </c>
      <c r="O155" s="4">
        <f t="shared" si="19"/>
        <v>0</v>
      </c>
      <c r="P155" s="4">
        <f>IF(K155&lt;&gt;"Yes",0,IF(Sales_Tax_Settings!$B$6="Yes",E155/(1+Sales_Tax_Settings!$B$10),E155))</f>
        <v>0</v>
      </c>
      <c r="Q155" s="4">
        <f>IF(K155&lt;&gt;"Yes",0,P155*Sales_Tax_Settings!$B$8)</f>
        <v>0</v>
      </c>
      <c r="R155" s="4">
        <f>IF(K155&lt;&gt;"Yes",0,P155*Sales_Tax_Settings!$B$9)</f>
        <v>0</v>
      </c>
      <c r="S155" s="4">
        <f t="shared" si="20"/>
        <v>0</v>
      </c>
    </row>
    <row r="156" spans="1:19" x14ac:dyDescent="0.3">
      <c r="A156" t="str">
        <f>IF(Expense_Input!A156="","",Expense_Input!A156)</f>
        <v/>
      </c>
      <c r="B156" t="str">
        <f>IF(Expense_Input!B156="","",Expense_Input!B156)</f>
        <v/>
      </c>
      <c r="C156" t="str">
        <f t="shared" si="14"/>
        <v/>
      </c>
      <c r="D156" t="str">
        <f>IF(Expense_Input!C156="","",Expense_Input!C156)</f>
        <v/>
      </c>
      <c r="E156" s="4" t="str">
        <f>IF(Expense_Input!D156="","",Expense_Input!D156)</f>
        <v/>
      </c>
      <c r="F156" t="str">
        <f>IF(Expense_Input!E156="","",Expense_Input!E156)</f>
        <v/>
      </c>
      <c r="G156" t="str">
        <f>IF(Expense_Input!H156="","",Expense_Input!H156)</f>
        <v/>
      </c>
      <c r="H156" t="str">
        <f>IF(Expense_Input!I156="","Auto",Expense_Input!I156)</f>
        <v>Auto</v>
      </c>
      <c r="I156" t="str">
        <f>IF(F156="","",IFERROR(VLOOKUP(F156,Sales_Tax_Settings!$A$15:$B$27,2,FALSE),"Tax Unknown"))</f>
        <v/>
      </c>
      <c r="J156" t="str">
        <f t="shared" si="15"/>
        <v/>
      </c>
      <c r="K156" t="str">
        <f>IF(AND(Sales_Tax_Settings!$B$5="Yes",G156="Personal Expense",J156="Taxable"),"Yes","No")</f>
        <v>No</v>
      </c>
      <c r="L156" s="4">
        <f t="shared" si="16"/>
        <v>0</v>
      </c>
      <c r="M156" s="4">
        <f t="shared" si="17"/>
        <v>0</v>
      </c>
      <c r="N156" s="4">
        <f t="shared" si="18"/>
        <v>0</v>
      </c>
      <c r="O156" s="4">
        <f t="shared" si="19"/>
        <v>0</v>
      </c>
      <c r="P156" s="4">
        <f>IF(K156&lt;&gt;"Yes",0,IF(Sales_Tax_Settings!$B$6="Yes",E156/(1+Sales_Tax_Settings!$B$10),E156))</f>
        <v>0</v>
      </c>
      <c r="Q156" s="4">
        <f>IF(K156&lt;&gt;"Yes",0,P156*Sales_Tax_Settings!$B$8)</f>
        <v>0</v>
      </c>
      <c r="R156" s="4">
        <f>IF(K156&lt;&gt;"Yes",0,P156*Sales_Tax_Settings!$B$9)</f>
        <v>0</v>
      </c>
      <c r="S156" s="4">
        <f t="shared" si="20"/>
        <v>0</v>
      </c>
    </row>
    <row r="157" spans="1:19" x14ac:dyDescent="0.3">
      <c r="A157" t="str">
        <f>IF(Expense_Input!A157="","",Expense_Input!A157)</f>
        <v/>
      </c>
      <c r="B157" t="str">
        <f>IF(Expense_Input!B157="","",Expense_Input!B157)</f>
        <v/>
      </c>
      <c r="C157" t="str">
        <f t="shared" si="14"/>
        <v/>
      </c>
      <c r="D157" t="str">
        <f>IF(Expense_Input!C157="","",Expense_Input!C157)</f>
        <v/>
      </c>
      <c r="E157" s="4" t="str">
        <f>IF(Expense_Input!D157="","",Expense_Input!D157)</f>
        <v/>
      </c>
      <c r="F157" t="str">
        <f>IF(Expense_Input!E157="","",Expense_Input!E157)</f>
        <v/>
      </c>
      <c r="G157" t="str">
        <f>IF(Expense_Input!H157="","",Expense_Input!H157)</f>
        <v/>
      </c>
      <c r="H157" t="str">
        <f>IF(Expense_Input!I157="","Auto",Expense_Input!I157)</f>
        <v>Auto</v>
      </c>
      <c r="I157" t="str">
        <f>IF(F157="","",IFERROR(VLOOKUP(F157,Sales_Tax_Settings!$A$15:$B$27,2,FALSE),"Tax Unknown"))</f>
        <v/>
      </c>
      <c r="J157" t="str">
        <f t="shared" si="15"/>
        <v/>
      </c>
      <c r="K157" t="str">
        <f>IF(AND(Sales_Tax_Settings!$B$5="Yes",G157="Personal Expense",J157="Taxable"),"Yes","No")</f>
        <v>No</v>
      </c>
      <c r="L157" s="4">
        <f t="shared" si="16"/>
        <v>0</v>
      </c>
      <c r="M157" s="4">
        <f t="shared" si="17"/>
        <v>0</v>
      </c>
      <c r="N157" s="4">
        <f t="shared" si="18"/>
        <v>0</v>
      </c>
      <c r="O157" s="4">
        <f t="shared" si="19"/>
        <v>0</v>
      </c>
      <c r="P157" s="4">
        <f>IF(K157&lt;&gt;"Yes",0,IF(Sales_Tax_Settings!$B$6="Yes",E157/(1+Sales_Tax_Settings!$B$10),E157))</f>
        <v>0</v>
      </c>
      <c r="Q157" s="4">
        <f>IF(K157&lt;&gt;"Yes",0,P157*Sales_Tax_Settings!$B$8)</f>
        <v>0</v>
      </c>
      <c r="R157" s="4">
        <f>IF(K157&lt;&gt;"Yes",0,P157*Sales_Tax_Settings!$B$9)</f>
        <v>0</v>
      </c>
      <c r="S157" s="4">
        <f t="shared" si="20"/>
        <v>0</v>
      </c>
    </row>
    <row r="158" spans="1:19" x14ac:dyDescent="0.3">
      <c r="A158" t="str">
        <f>IF(Expense_Input!A158="","",Expense_Input!A158)</f>
        <v/>
      </c>
      <c r="B158" t="str">
        <f>IF(Expense_Input!B158="","",Expense_Input!B158)</f>
        <v/>
      </c>
      <c r="C158" t="str">
        <f t="shared" si="14"/>
        <v/>
      </c>
      <c r="D158" t="str">
        <f>IF(Expense_Input!C158="","",Expense_Input!C158)</f>
        <v/>
      </c>
      <c r="E158" s="4" t="str">
        <f>IF(Expense_Input!D158="","",Expense_Input!D158)</f>
        <v/>
      </c>
      <c r="F158" t="str">
        <f>IF(Expense_Input!E158="","",Expense_Input!E158)</f>
        <v/>
      </c>
      <c r="G158" t="str">
        <f>IF(Expense_Input!H158="","",Expense_Input!H158)</f>
        <v/>
      </c>
      <c r="H158" t="str">
        <f>IF(Expense_Input!I158="","Auto",Expense_Input!I158)</f>
        <v>Auto</v>
      </c>
      <c r="I158" t="str">
        <f>IF(F158="","",IFERROR(VLOOKUP(F158,Sales_Tax_Settings!$A$15:$B$27,2,FALSE),"Tax Unknown"))</f>
        <v/>
      </c>
      <c r="J158" t="str">
        <f t="shared" si="15"/>
        <v/>
      </c>
      <c r="K158" t="str">
        <f>IF(AND(Sales_Tax_Settings!$B$5="Yes",G158="Personal Expense",J158="Taxable"),"Yes","No")</f>
        <v>No</v>
      </c>
      <c r="L158" s="4">
        <f t="shared" si="16"/>
        <v>0</v>
      </c>
      <c r="M158" s="4">
        <f t="shared" si="17"/>
        <v>0</v>
      </c>
      <c r="N158" s="4">
        <f t="shared" si="18"/>
        <v>0</v>
      </c>
      <c r="O158" s="4">
        <f t="shared" si="19"/>
        <v>0</v>
      </c>
      <c r="P158" s="4">
        <f>IF(K158&lt;&gt;"Yes",0,IF(Sales_Tax_Settings!$B$6="Yes",E158/(1+Sales_Tax_Settings!$B$10),E158))</f>
        <v>0</v>
      </c>
      <c r="Q158" s="4">
        <f>IF(K158&lt;&gt;"Yes",0,P158*Sales_Tax_Settings!$B$8)</f>
        <v>0</v>
      </c>
      <c r="R158" s="4">
        <f>IF(K158&lt;&gt;"Yes",0,P158*Sales_Tax_Settings!$B$9)</f>
        <v>0</v>
      </c>
      <c r="S158" s="4">
        <f t="shared" si="20"/>
        <v>0</v>
      </c>
    </row>
    <row r="159" spans="1:19" x14ac:dyDescent="0.3">
      <c r="A159" t="str">
        <f>IF(Expense_Input!A159="","",Expense_Input!A159)</f>
        <v/>
      </c>
      <c r="B159" t="str">
        <f>IF(Expense_Input!B159="","",Expense_Input!B159)</f>
        <v/>
      </c>
      <c r="C159" t="str">
        <f t="shared" si="14"/>
        <v/>
      </c>
      <c r="D159" t="str">
        <f>IF(Expense_Input!C159="","",Expense_Input!C159)</f>
        <v/>
      </c>
      <c r="E159" s="4" t="str">
        <f>IF(Expense_Input!D159="","",Expense_Input!D159)</f>
        <v/>
      </c>
      <c r="F159" t="str">
        <f>IF(Expense_Input!E159="","",Expense_Input!E159)</f>
        <v/>
      </c>
      <c r="G159" t="str">
        <f>IF(Expense_Input!H159="","",Expense_Input!H159)</f>
        <v/>
      </c>
      <c r="H159" t="str">
        <f>IF(Expense_Input!I159="","Auto",Expense_Input!I159)</f>
        <v>Auto</v>
      </c>
      <c r="I159" t="str">
        <f>IF(F159="","",IFERROR(VLOOKUP(F159,Sales_Tax_Settings!$A$15:$B$27,2,FALSE),"Tax Unknown"))</f>
        <v/>
      </c>
      <c r="J159" t="str">
        <f t="shared" si="15"/>
        <v/>
      </c>
      <c r="K159" t="str">
        <f>IF(AND(Sales_Tax_Settings!$B$5="Yes",G159="Personal Expense",J159="Taxable"),"Yes","No")</f>
        <v>No</v>
      </c>
      <c r="L159" s="4">
        <f t="shared" si="16"/>
        <v>0</v>
      </c>
      <c r="M159" s="4">
        <f t="shared" si="17"/>
        <v>0</v>
      </c>
      <c r="N159" s="4">
        <f t="shared" si="18"/>
        <v>0</v>
      </c>
      <c r="O159" s="4">
        <f t="shared" si="19"/>
        <v>0</v>
      </c>
      <c r="P159" s="4">
        <f>IF(K159&lt;&gt;"Yes",0,IF(Sales_Tax_Settings!$B$6="Yes",E159/(1+Sales_Tax_Settings!$B$10),E159))</f>
        <v>0</v>
      </c>
      <c r="Q159" s="4">
        <f>IF(K159&lt;&gt;"Yes",0,P159*Sales_Tax_Settings!$B$8)</f>
        <v>0</v>
      </c>
      <c r="R159" s="4">
        <f>IF(K159&lt;&gt;"Yes",0,P159*Sales_Tax_Settings!$B$9)</f>
        <v>0</v>
      </c>
      <c r="S159" s="4">
        <f t="shared" si="20"/>
        <v>0</v>
      </c>
    </row>
    <row r="160" spans="1:19" x14ac:dyDescent="0.3">
      <c r="A160" t="str">
        <f>IF(Expense_Input!A160="","",Expense_Input!A160)</f>
        <v/>
      </c>
      <c r="B160" t="str">
        <f>IF(Expense_Input!B160="","",Expense_Input!B160)</f>
        <v/>
      </c>
      <c r="C160" t="str">
        <f t="shared" si="14"/>
        <v/>
      </c>
      <c r="D160" t="str">
        <f>IF(Expense_Input!C160="","",Expense_Input!C160)</f>
        <v/>
      </c>
      <c r="E160" s="4" t="str">
        <f>IF(Expense_Input!D160="","",Expense_Input!D160)</f>
        <v/>
      </c>
      <c r="F160" t="str">
        <f>IF(Expense_Input!E160="","",Expense_Input!E160)</f>
        <v/>
      </c>
      <c r="G160" t="str">
        <f>IF(Expense_Input!H160="","",Expense_Input!H160)</f>
        <v/>
      </c>
      <c r="H160" t="str">
        <f>IF(Expense_Input!I160="","Auto",Expense_Input!I160)</f>
        <v>Auto</v>
      </c>
      <c r="I160" t="str">
        <f>IF(F160="","",IFERROR(VLOOKUP(F160,Sales_Tax_Settings!$A$15:$B$27,2,FALSE),"Tax Unknown"))</f>
        <v/>
      </c>
      <c r="J160" t="str">
        <f t="shared" si="15"/>
        <v/>
      </c>
      <c r="K160" t="str">
        <f>IF(AND(Sales_Tax_Settings!$B$5="Yes",G160="Personal Expense",J160="Taxable"),"Yes","No")</f>
        <v>No</v>
      </c>
      <c r="L160" s="4">
        <f t="shared" si="16"/>
        <v>0</v>
      </c>
      <c r="M160" s="4">
        <f t="shared" si="17"/>
        <v>0</v>
      </c>
      <c r="N160" s="4">
        <f t="shared" si="18"/>
        <v>0</v>
      </c>
      <c r="O160" s="4">
        <f t="shared" si="19"/>
        <v>0</v>
      </c>
      <c r="P160" s="4">
        <f>IF(K160&lt;&gt;"Yes",0,IF(Sales_Tax_Settings!$B$6="Yes",E160/(1+Sales_Tax_Settings!$B$10),E160))</f>
        <v>0</v>
      </c>
      <c r="Q160" s="4">
        <f>IF(K160&lt;&gt;"Yes",0,P160*Sales_Tax_Settings!$B$8)</f>
        <v>0</v>
      </c>
      <c r="R160" s="4">
        <f>IF(K160&lt;&gt;"Yes",0,P160*Sales_Tax_Settings!$B$9)</f>
        <v>0</v>
      </c>
      <c r="S160" s="4">
        <f t="shared" si="20"/>
        <v>0</v>
      </c>
    </row>
    <row r="161" spans="1:19" x14ac:dyDescent="0.3">
      <c r="A161" t="str">
        <f>IF(Expense_Input!A161="","",Expense_Input!A161)</f>
        <v/>
      </c>
      <c r="B161" t="str">
        <f>IF(Expense_Input!B161="","",Expense_Input!B161)</f>
        <v/>
      </c>
      <c r="C161" t="str">
        <f t="shared" si="14"/>
        <v/>
      </c>
      <c r="D161" t="str">
        <f>IF(Expense_Input!C161="","",Expense_Input!C161)</f>
        <v/>
      </c>
      <c r="E161" s="4" t="str">
        <f>IF(Expense_Input!D161="","",Expense_Input!D161)</f>
        <v/>
      </c>
      <c r="F161" t="str">
        <f>IF(Expense_Input!E161="","",Expense_Input!E161)</f>
        <v/>
      </c>
      <c r="G161" t="str">
        <f>IF(Expense_Input!H161="","",Expense_Input!H161)</f>
        <v/>
      </c>
      <c r="H161" t="str">
        <f>IF(Expense_Input!I161="","Auto",Expense_Input!I161)</f>
        <v>Auto</v>
      </c>
      <c r="I161" t="str">
        <f>IF(F161="","",IFERROR(VLOOKUP(F161,Sales_Tax_Settings!$A$15:$B$27,2,FALSE),"Tax Unknown"))</f>
        <v/>
      </c>
      <c r="J161" t="str">
        <f t="shared" si="15"/>
        <v/>
      </c>
      <c r="K161" t="str">
        <f>IF(AND(Sales_Tax_Settings!$B$5="Yes",G161="Personal Expense",J161="Taxable"),"Yes","No")</f>
        <v>No</v>
      </c>
      <c r="L161" s="4">
        <f t="shared" si="16"/>
        <v>0</v>
      </c>
      <c r="M161" s="4">
        <f t="shared" si="17"/>
        <v>0</v>
      </c>
      <c r="N161" s="4">
        <f t="shared" si="18"/>
        <v>0</v>
      </c>
      <c r="O161" s="4">
        <f t="shared" si="19"/>
        <v>0</v>
      </c>
      <c r="P161" s="4">
        <f>IF(K161&lt;&gt;"Yes",0,IF(Sales_Tax_Settings!$B$6="Yes",E161/(1+Sales_Tax_Settings!$B$10),E161))</f>
        <v>0</v>
      </c>
      <c r="Q161" s="4">
        <f>IF(K161&lt;&gt;"Yes",0,P161*Sales_Tax_Settings!$B$8)</f>
        <v>0</v>
      </c>
      <c r="R161" s="4">
        <f>IF(K161&lt;&gt;"Yes",0,P161*Sales_Tax_Settings!$B$9)</f>
        <v>0</v>
      </c>
      <c r="S161" s="4">
        <f t="shared" si="20"/>
        <v>0</v>
      </c>
    </row>
    <row r="162" spans="1:19" x14ac:dyDescent="0.3">
      <c r="A162" t="str">
        <f>IF(Expense_Input!A162="","",Expense_Input!A162)</f>
        <v/>
      </c>
      <c r="B162" t="str">
        <f>IF(Expense_Input!B162="","",Expense_Input!B162)</f>
        <v/>
      </c>
      <c r="C162" t="str">
        <f t="shared" si="14"/>
        <v/>
      </c>
      <c r="D162" t="str">
        <f>IF(Expense_Input!C162="","",Expense_Input!C162)</f>
        <v/>
      </c>
      <c r="E162" s="4" t="str">
        <f>IF(Expense_Input!D162="","",Expense_Input!D162)</f>
        <v/>
      </c>
      <c r="F162" t="str">
        <f>IF(Expense_Input!E162="","",Expense_Input!E162)</f>
        <v/>
      </c>
      <c r="G162" t="str">
        <f>IF(Expense_Input!H162="","",Expense_Input!H162)</f>
        <v/>
      </c>
      <c r="H162" t="str">
        <f>IF(Expense_Input!I162="","Auto",Expense_Input!I162)</f>
        <v>Auto</v>
      </c>
      <c r="I162" t="str">
        <f>IF(F162="","",IFERROR(VLOOKUP(F162,Sales_Tax_Settings!$A$15:$B$27,2,FALSE),"Tax Unknown"))</f>
        <v/>
      </c>
      <c r="J162" t="str">
        <f t="shared" si="15"/>
        <v/>
      </c>
      <c r="K162" t="str">
        <f>IF(AND(Sales_Tax_Settings!$B$5="Yes",G162="Personal Expense",J162="Taxable"),"Yes","No")</f>
        <v>No</v>
      </c>
      <c r="L162" s="4">
        <f t="shared" si="16"/>
        <v>0</v>
      </c>
      <c r="M162" s="4">
        <f t="shared" si="17"/>
        <v>0</v>
      </c>
      <c r="N162" s="4">
        <f t="shared" si="18"/>
        <v>0</v>
      </c>
      <c r="O162" s="4">
        <f t="shared" si="19"/>
        <v>0</v>
      </c>
      <c r="P162" s="4">
        <f>IF(K162&lt;&gt;"Yes",0,IF(Sales_Tax_Settings!$B$6="Yes",E162/(1+Sales_Tax_Settings!$B$10),E162))</f>
        <v>0</v>
      </c>
      <c r="Q162" s="4">
        <f>IF(K162&lt;&gt;"Yes",0,P162*Sales_Tax_Settings!$B$8)</f>
        <v>0</v>
      </c>
      <c r="R162" s="4">
        <f>IF(K162&lt;&gt;"Yes",0,P162*Sales_Tax_Settings!$B$9)</f>
        <v>0</v>
      </c>
      <c r="S162" s="4">
        <f t="shared" si="20"/>
        <v>0</v>
      </c>
    </row>
    <row r="163" spans="1:19" x14ac:dyDescent="0.3">
      <c r="A163" t="str">
        <f>IF(Expense_Input!A163="","",Expense_Input!A163)</f>
        <v/>
      </c>
      <c r="B163" t="str">
        <f>IF(Expense_Input!B163="","",Expense_Input!B163)</f>
        <v/>
      </c>
      <c r="C163" t="str">
        <f t="shared" si="14"/>
        <v/>
      </c>
      <c r="D163" t="str">
        <f>IF(Expense_Input!C163="","",Expense_Input!C163)</f>
        <v/>
      </c>
      <c r="E163" s="4" t="str">
        <f>IF(Expense_Input!D163="","",Expense_Input!D163)</f>
        <v/>
      </c>
      <c r="F163" t="str">
        <f>IF(Expense_Input!E163="","",Expense_Input!E163)</f>
        <v/>
      </c>
      <c r="G163" t="str">
        <f>IF(Expense_Input!H163="","",Expense_Input!H163)</f>
        <v/>
      </c>
      <c r="H163" t="str">
        <f>IF(Expense_Input!I163="","Auto",Expense_Input!I163)</f>
        <v>Auto</v>
      </c>
      <c r="I163" t="str">
        <f>IF(F163="","",IFERROR(VLOOKUP(F163,Sales_Tax_Settings!$A$15:$B$27,2,FALSE),"Tax Unknown"))</f>
        <v/>
      </c>
      <c r="J163" t="str">
        <f t="shared" si="15"/>
        <v/>
      </c>
      <c r="K163" t="str">
        <f>IF(AND(Sales_Tax_Settings!$B$5="Yes",G163="Personal Expense",J163="Taxable"),"Yes","No")</f>
        <v>No</v>
      </c>
      <c r="L163" s="4">
        <f t="shared" si="16"/>
        <v>0</v>
      </c>
      <c r="M163" s="4">
        <f t="shared" si="17"/>
        <v>0</v>
      </c>
      <c r="N163" s="4">
        <f t="shared" si="18"/>
        <v>0</v>
      </c>
      <c r="O163" s="4">
        <f t="shared" si="19"/>
        <v>0</v>
      </c>
      <c r="P163" s="4">
        <f>IF(K163&lt;&gt;"Yes",0,IF(Sales_Tax_Settings!$B$6="Yes",E163/(1+Sales_Tax_Settings!$B$10),E163))</f>
        <v>0</v>
      </c>
      <c r="Q163" s="4">
        <f>IF(K163&lt;&gt;"Yes",0,P163*Sales_Tax_Settings!$B$8)</f>
        <v>0</v>
      </c>
      <c r="R163" s="4">
        <f>IF(K163&lt;&gt;"Yes",0,P163*Sales_Tax_Settings!$B$9)</f>
        <v>0</v>
      </c>
      <c r="S163" s="4">
        <f t="shared" si="20"/>
        <v>0</v>
      </c>
    </row>
    <row r="164" spans="1:19" x14ac:dyDescent="0.3">
      <c r="A164" t="str">
        <f>IF(Expense_Input!A164="","",Expense_Input!A164)</f>
        <v/>
      </c>
      <c r="B164" t="str">
        <f>IF(Expense_Input!B164="","",Expense_Input!B164)</f>
        <v/>
      </c>
      <c r="C164" t="str">
        <f t="shared" si="14"/>
        <v/>
      </c>
      <c r="D164" t="str">
        <f>IF(Expense_Input!C164="","",Expense_Input!C164)</f>
        <v/>
      </c>
      <c r="E164" s="4" t="str">
        <f>IF(Expense_Input!D164="","",Expense_Input!D164)</f>
        <v/>
      </c>
      <c r="F164" t="str">
        <f>IF(Expense_Input!E164="","",Expense_Input!E164)</f>
        <v/>
      </c>
      <c r="G164" t="str">
        <f>IF(Expense_Input!H164="","",Expense_Input!H164)</f>
        <v/>
      </c>
      <c r="H164" t="str">
        <f>IF(Expense_Input!I164="","Auto",Expense_Input!I164)</f>
        <v>Auto</v>
      </c>
      <c r="I164" t="str">
        <f>IF(F164="","",IFERROR(VLOOKUP(F164,Sales_Tax_Settings!$A$15:$B$27,2,FALSE),"Tax Unknown"))</f>
        <v/>
      </c>
      <c r="J164" t="str">
        <f t="shared" si="15"/>
        <v/>
      </c>
      <c r="K164" t="str">
        <f>IF(AND(Sales_Tax_Settings!$B$5="Yes",G164="Personal Expense",J164="Taxable"),"Yes","No")</f>
        <v>No</v>
      </c>
      <c r="L164" s="4">
        <f t="shared" si="16"/>
        <v>0</v>
      </c>
      <c r="M164" s="4">
        <f t="shared" si="17"/>
        <v>0</v>
      </c>
      <c r="N164" s="4">
        <f t="shared" si="18"/>
        <v>0</v>
      </c>
      <c r="O164" s="4">
        <f t="shared" si="19"/>
        <v>0</v>
      </c>
      <c r="P164" s="4">
        <f>IF(K164&lt;&gt;"Yes",0,IF(Sales_Tax_Settings!$B$6="Yes",E164/(1+Sales_Tax_Settings!$B$10),E164))</f>
        <v>0</v>
      </c>
      <c r="Q164" s="4">
        <f>IF(K164&lt;&gt;"Yes",0,P164*Sales_Tax_Settings!$B$8)</f>
        <v>0</v>
      </c>
      <c r="R164" s="4">
        <f>IF(K164&lt;&gt;"Yes",0,P164*Sales_Tax_Settings!$B$9)</f>
        <v>0</v>
      </c>
      <c r="S164" s="4">
        <f t="shared" si="20"/>
        <v>0</v>
      </c>
    </row>
    <row r="165" spans="1:19" x14ac:dyDescent="0.3">
      <c r="A165" t="str">
        <f>IF(Expense_Input!A165="","",Expense_Input!A165)</f>
        <v/>
      </c>
      <c r="B165" t="str">
        <f>IF(Expense_Input!B165="","",Expense_Input!B165)</f>
        <v/>
      </c>
      <c r="C165" t="str">
        <f t="shared" si="14"/>
        <v/>
      </c>
      <c r="D165" t="str">
        <f>IF(Expense_Input!C165="","",Expense_Input!C165)</f>
        <v/>
      </c>
      <c r="E165" s="4" t="str">
        <f>IF(Expense_Input!D165="","",Expense_Input!D165)</f>
        <v/>
      </c>
      <c r="F165" t="str">
        <f>IF(Expense_Input!E165="","",Expense_Input!E165)</f>
        <v/>
      </c>
      <c r="G165" t="str">
        <f>IF(Expense_Input!H165="","",Expense_Input!H165)</f>
        <v/>
      </c>
      <c r="H165" t="str">
        <f>IF(Expense_Input!I165="","Auto",Expense_Input!I165)</f>
        <v>Auto</v>
      </c>
      <c r="I165" t="str">
        <f>IF(F165="","",IFERROR(VLOOKUP(F165,Sales_Tax_Settings!$A$15:$B$27,2,FALSE),"Tax Unknown"))</f>
        <v/>
      </c>
      <c r="J165" t="str">
        <f t="shared" si="15"/>
        <v/>
      </c>
      <c r="K165" t="str">
        <f>IF(AND(Sales_Tax_Settings!$B$5="Yes",G165="Personal Expense",J165="Taxable"),"Yes","No")</f>
        <v>No</v>
      </c>
      <c r="L165" s="4">
        <f t="shared" si="16"/>
        <v>0</v>
      </c>
      <c r="M165" s="4">
        <f t="shared" si="17"/>
        <v>0</v>
      </c>
      <c r="N165" s="4">
        <f t="shared" si="18"/>
        <v>0</v>
      </c>
      <c r="O165" s="4">
        <f t="shared" si="19"/>
        <v>0</v>
      </c>
      <c r="P165" s="4">
        <f>IF(K165&lt;&gt;"Yes",0,IF(Sales_Tax_Settings!$B$6="Yes",E165/(1+Sales_Tax_Settings!$B$10),E165))</f>
        <v>0</v>
      </c>
      <c r="Q165" s="4">
        <f>IF(K165&lt;&gt;"Yes",0,P165*Sales_Tax_Settings!$B$8)</f>
        <v>0</v>
      </c>
      <c r="R165" s="4">
        <f>IF(K165&lt;&gt;"Yes",0,P165*Sales_Tax_Settings!$B$9)</f>
        <v>0</v>
      </c>
      <c r="S165" s="4">
        <f t="shared" si="20"/>
        <v>0</v>
      </c>
    </row>
    <row r="166" spans="1:19" x14ac:dyDescent="0.3">
      <c r="A166" t="str">
        <f>IF(Expense_Input!A166="","",Expense_Input!A166)</f>
        <v/>
      </c>
      <c r="B166" t="str">
        <f>IF(Expense_Input!B166="","",Expense_Input!B166)</f>
        <v/>
      </c>
      <c r="C166" t="str">
        <f t="shared" si="14"/>
        <v/>
      </c>
      <c r="D166" t="str">
        <f>IF(Expense_Input!C166="","",Expense_Input!C166)</f>
        <v/>
      </c>
      <c r="E166" s="4" t="str">
        <f>IF(Expense_Input!D166="","",Expense_Input!D166)</f>
        <v/>
      </c>
      <c r="F166" t="str">
        <f>IF(Expense_Input!E166="","",Expense_Input!E166)</f>
        <v/>
      </c>
      <c r="G166" t="str">
        <f>IF(Expense_Input!H166="","",Expense_Input!H166)</f>
        <v/>
      </c>
      <c r="H166" t="str">
        <f>IF(Expense_Input!I166="","Auto",Expense_Input!I166)</f>
        <v>Auto</v>
      </c>
      <c r="I166" t="str">
        <f>IF(F166="","",IFERROR(VLOOKUP(F166,Sales_Tax_Settings!$A$15:$B$27,2,FALSE),"Tax Unknown"))</f>
        <v/>
      </c>
      <c r="J166" t="str">
        <f t="shared" si="15"/>
        <v/>
      </c>
      <c r="K166" t="str">
        <f>IF(AND(Sales_Tax_Settings!$B$5="Yes",G166="Personal Expense",J166="Taxable"),"Yes","No")</f>
        <v>No</v>
      </c>
      <c r="L166" s="4">
        <f t="shared" si="16"/>
        <v>0</v>
      </c>
      <c r="M166" s="4">
        <f t="shared" si="17"/>
        <v>0</v>
      </c>
      <c r="N166" s="4">
        <f t="shared" si="18"/>
        <v>0</v>
      </c>
      <c r="O166" s="4">
        <f t="shared" si="19"/>
        <v>0</v>
      </c>
      <c r="P166" s="4">
        <f>IF(K166&lt;&gt;"Yes",0,IF(Sales_Tax_Settings!$B$6="Yes",E166/(1+Sales_Tax_Settings!$B$10),E166))</f>
        <v>0</v>
      </c>
      <c r="Q166" s="4">
        <f>IF(K166&lt;&gt;"Yes",0,P166*Sales_Tax_Settings!$B$8)</f>
        <v>0</v>
      </c>
      <c r="R166" s="4">
        <f>IF(K166&lt;&gt;"Yes",0,P166*Sales_Tax_Settings!$B$9)</f>
        <v>0</v>
      </c>
      <c r="S166" s="4">
        <f t="shared" si="20"/>
        <v>0</v>
      </c>
    </row>
    <row r="167" spans="1:19" x14ac:dyDescent="0.3">
      <c r="A167" t="str">
        <f>IF(Expense_Input!A167="","",Expense_Input!A167)</f>
        <v/>
      </c>
      <c r="B167" t="str">
        <f>IF(Expense_Input!B167="","",Expense_Input!B167)</f>
        <v/>
      </c>
      <c r="C167" t="str">
        <f t="shared" si="14"/>
        <v/>
      </c>
      <c r="D167" t="str">
        <f>IF(Expense_Input!C167="","",Expense_Input!C167)</f>
        <v/>
      </c>
      <c r="E167" s="4" t="str">
        <f>IF(Expense_Input!D167="","",Expense_Input!D167)</f>
        <v/>
      </c>
      <c r="F167" t="str">
        <f>IF(Expense_Input!E167="","",Expense_Input!E167)</f>
        <v/>
      </c>
      <c r="G167" t="str">
        <f>IF(Expense_Input!H167="","",Expense_Input!H167)</f>
        <v/>
      </c>
      <c r="H167" t="str">
        <f>IF(Expense_Input!I167="","Auto",Expense_Input!I167)</f>
        <v>Auto</v>
      </c>
      <c r="I167" t="str">
        <f>IF(F167="","",IFERROR(VLOOKUP(F167,Sales_Tax_Settings!$A$15:$B$27,2,FALSE),"Tax Unknown"))</f>
        <v/>
      </c>
      <c r="J167" t="str">
        <f t="shared" si="15"/>
        <v/>
      </c>
      <c r="K167" t="str">
        <f>IF(AND(Sales_Tax_Settings!$B$5="Yes",G167="Personal Expense",J167="Taxable"),"Yes","No")</f>
        <v>No</v>
      </c>
      <c r="L167" s="4">
        <f t="shared" si="16"/>
        <v>0</v>
      </c>
      <c r="M167" s="4">
        <f t="shared" si="17"/>
        <v>0</v>
      </c>
      <c r="N167" s="4">
        <f t="shared" si="18"/>
        <v>0</v>
      </c>
      <c r="O167" s="4">
        <f t="shared" si="19"/>
        <v>0</v>
      </c>
      <c r="P167" s="4">
        <f>IF(K167&lt;&gt;"Yes",0,IF(Sales_Tax_Settings!$B$6="Yes",E167/(1+Sales_Tax_Settings!$B$10),E167))</f>
        <v>0</v>
      </c>
      <c r="Q167" s="4">
        <f>IF(K167&lt;&gt;"Yes",0,P167*Sales_Tax_Settings!$B$8)</f>
        <v>0</v>
      </c>
      <c r="R167" s="4">
        <f>IF(K167&lt;&gt;"Yes",0,P167*Sales_Tax_Settings!$B$9)</f>
        <v>0</v>
      </c>
      <c r="S167" s="4">
        <f t="shared" si="20"/>
        <v>0</v>
      </c>
    </row>
    <row r="168" spans="1:19" x14ac:dyDescent="0.3">
      <c r="A168" t="str">
        <f>IF(Expense_Input!A168="","",Expense_Input!A168)</f>
        <v/>
      </c>
      <c r="B168" t="str">
        <f>IF(Expense_Input!B168="","",Expense_Input!B168)</f>
        <v/>
      </c>
      <c r="C168" t="str">
        <f t="shared" si="14"/>
        <v/>
      </c>
      <c r="D168" t="str">
        <f>IF(Expense_Input!C168="","",Expense_Input!C168)</f>
        <v/>
      </c>
      <c r="E168" s="4" t="str">
        <f>IF(Expense_Input!D168="","",Expense_Input!D168)</f>
        <v/>
      </c>
      <c r="F168" t="str">
        <f>IF(Expense_Input!E168="","",Expense_Input!E168)</f>
        <v/>
      </c>
      <c r="G168" t="str">
        <f>IF(Expense_Input!H168="","",Expense_Input!H168)</f>
        <v/>
      </c>
      <c r="H168" t="str">
        <f>IF(Expense_Input!I168="","Auto",Expense_Input!I168)</f>
        <v>Auto</v>
      </c>
      <c r="I168" t="str">
        <f>IF(F168="","",IFERROR(VLOOKUP(F168,Sales_Tax_Settings!$A$15:$B$27,2,FALSE),"Tax Unknown"))</f>
        <v/>
      </c>
      <c r="J168" t="str">
        <f t="shared" si="15"/>
        <v/>
      </c>
      <c r="K168" t="str">
        <f>IF(AND(Sales_Tax_Settings!$B$5="Yes",G168="Personal Expense",J168="Taxable"),"Yes","No")</f>
        <v>No</v>
      </c>
      <c r="L168" s="4">
        <f t="shared" si="16"/>
        <v>0</v>
      </c>
      <c r="M168" s="4">
        <f t="shared" si="17"/>
        <v>0</v>
      </c>
      <c r="N168" s="4">
        <f t="shared" si="18"/>
        <v>0</v>
      </c>
      <c r="O168" s="4">
        <f t="shared" si="19"/>
        <v>0</v>
      </c>
      <c r="P168" s="4">
        <f>IF(K168&lt;&gt;"Yes",0,IF(Sales_Tax_Settings!$B$6="Yes",E168/(1+Sales_Tax_Settings!$B$10),E168))</f>
        <v>0</v>
      </c>
      <c r="Q168" s="4">
        <f>IF(K168&lt;&gt;"Yes",0,P168*Sales_Tax_Settings!$B$8)</f>
        <v>0</v>
      </c>
      <c r="R168" s="4">
        <f>IF(K168&lt;&gt;"Yes",0,P168*Sales_Tax_Settings!$B$9)</f>
        <v>0</v>
      </c>
      <c r="S168" s="4">
        <f t="shared" si="20"/>
        <v>0</v>
      </c>
    </row>
    <row r="169" spans="1:19" x14ac:dyDescent="0.3">
      <c r="A169" t="str">
        <f>IF(Expense_Input!A169="","",Expense_Input!A169)</f>
        <v/>
      </c>
      <c r="B169" t="str">
        <f>IF(Expense_Input!B169="","",Expense_Input!B169)</f>
        <v/>
      </c>
      <c r="C169" t="str">
        <f t="shared" si="14"/>
        <v/>
      </c>
      <c r="D169" t="str">
        <f>IF(Expense_Input!C169="","",Expense_Input!C169)</f>
        <v/>
      </c>
      <c r="E169" s="4" t="str">
        <f>IF(Expense_Input!D169="","",Expense_Input!D169)</f>
        <v/>
      </c>
      <c r="F169" t="str">
        <f>IF(Expense_Input!E169="","",Expense_Input!E169)</f>
        <v/>
      </c>
      <c r="G169" t="str">
        <f>IF(Expense_Input!H169="","",Expense_Input!H169)</f>
        <v/>
      </c>
      <c r="H169" t="str">
        <f>IF(Expense_Input!I169="","Auto",Expense_Input!I169)</f>
        <v>Auto</v>
      </c>
      <c r="I169" t="str">
        <f>IF(F169="","",IFERROR(VLOOKUP(F169,Sales_Tax_Settings!$A$15:$B$27,2,FALSE),"Tax Unknown"))</f>
        <v/>
      </c>
      <c r="J169" t="str">
        <f t="shared" si="15"/>
        <v/>
      </c>
      <c r="K169" t="str">
        <f>IF(AND(Sales_Tax_Settings!$B$5="Yes",G169="Personal Expense",J169="Taxable"),"Yes","No")</f>
        <v>No</v>
      </c>
      <c r="L169" s="4">
        <f t="shared" si="16"/>
        <v>0</v>
      </c>
      <c r="M169" s="4">
        <f t="shared" si="17"/>
        <v>0</v>
      </c>
      <c r="N169" s="4">
        <f t="shared" si="18"/>
        <v>0</v>
      </c>
      <c r="O169" s="4">
        <f t="shared" si="19"/>
        <v>0</v>
      </c>
      <c r="P169" s="4">
        <f>IF(K169&lt;&gt;"Yes",0,IF(Sales_Tax_Settings!$B$6="Yes",E169/(1+Sales_Tax_Settings!$B$10),E169))</f>
        <v>0</v>
      </c>
      <c r="Q169" s="4">
        <f>IF(K169&lt;&gt;"Yes",0,P169*Sales_Tax_Settings!$B$8)</f>
        <v>0</v>
      </c>
      <c r="R169" s="4">
        <f>IF(K169&lt;&gt;"Yes",0,P169*Sales_Tax_Settings!$B$9)</f>
        <v>0</v>
      </c>
      <c r="S169" s="4">
        <f t="shared" si="20"/>
        <v>0</v>
      </c>
    </row>
    <row r="170" spans="1:19" x14ac:dyDescent="0.3">
      <c r="A170" t="str">
        <f>IF(Expense_Input!A170="","",Expense_Input!A170)</f>
        <v/>
      </c>
      <c r="B170" t="str">
        <f>IF(Expense_Input!B170="","",Expense_Input!B170)</f>
        <v/>
      </c>
      <c r="C170" t="str">
        <f t="shared" si="14"/>
        <v/>
      </c>
      <c r="D170" t="str">
        <f>IF(Expense_Input!C170="","",Expense_Input!C170)</f>
        <v/>
      </c>
      <c r="E170" s="4" t="str">
        <f>IF(Expense_Input!D170="","",Expense_Input!D170)</f>
        <v/>
      </c>
      <c r="F170" t="str">
        <f>IF(Expense_Input!E170="","",Expense_Input!E170)</f>
        <v/>
      </c>
      <c r="G170" t="str">
        <f>IF(Expense_Input!H170="","",Expense_Input!H170)</f>
        <v/>
      </c>
      <c r="H170" t="str">
        <f>IF(Expense_Input!I170="","Auto",Expense_Input!I170)</f>
        <v>Auto</v>
      </c>
      <c r="I170" t="str">
        <f>IF(F170="","",IFERROR(VLOOKUP(F170,Sales_Tax_Settings!$A$15:$B$27,2,FALSE),"Tax Unknown"))</f>
        <v/>
      </c>
      <c r="J170" t="str">
        <f t="shared" si="15"/>
        <v/>
      </c>
      <c r="K170" t="str">
        <f>IF(AND(Sales_Tax_Settings!$B$5="Yes",G170="Personal Expense",J170="Taxable"),"Yes","No")</f>
        <v>No</v>
      </c>
      <c r="L170" s="4">
        <f t="shared" si="16"/>
        <v>0</v>
      </c>
      <c r="M170" s="4">
        <f t="shared" si="17"/>
        <v>0</v>
      </c>
      <c r="N170" s="4">
        <f t="shared" si="18"/>
        <v>0</v>
      </c>
      <c r="O170" s="4">
        <f t="shared" si="19"/>
        <v>0</v>
      </c>
      <c r="P170" s="4">
        <f>IF(K170&lt;&gt;"Yes",0,IF(Sales_Tax_Settings!$B$6="Yes",E170/(1+Sales_Tax_Settings!$B$10),E170))</f>
        <v>0</v>
      </c>
      <c r="Q170" s="4">
        <f>IF(K170&lt;&gt;"Yes",0,P170*Sales_Tax_Settings!$B$8)</f>
        <v>0</v>
      </c>
      <c r="R170" s="4">
        <f>IF(K170&lt;&gt;"Yes",0,P170*Sales_Tax_Settings!$B$9)</f>
        <v>0</v>
      </c>
      <c r="S170" s="4">
        <f t="shared" si="20"/>
        <v>0</v>
      </c>
    </row>
    <row r="171" spans="1:19" x14ac:dyDescent="0.3">
      <c r="A171" t="str">
        <f>IF(Expense_Input!A171="","",Expense_Input!A171)</f>
        <v/>
      </c>
      <c r="B171" t="str">
        <f>IF(Expense_Input!B171="","",Expense_Input!B171)</f>
        <v/>
      </c>
      <c r="C171" t="str">
        <f t="shared" si="14"/>
        <v/>
      </c>
      <c r="D171" t="str">
        <f>IF(Expense_Input!C171="","",Expense_Input!C171)</f>
        <v/>
      </c>
      <c r="E171" s="4" t="str">
        <f>IF(Expense_Input!D171="","",Expense_Input!D171)</f>
        <v/>
      </c>
      <c r="F171" t="str">
        <f>IF(Expense_Input!E171="","",Expense_Input!E171)</f>
        <v/>
      </c>
      <c r="G171" t="str">
        <f>IF(Expense_Input!H171="","",Expense_Input!H171)</f>
        <v/>
      </c>
      <c r="H171" t="str">
        <f>IF(Expense_Input!I171="","Auto",Expense_Input!I171)</f>
        <v>Auto</v>
      </c>
      <c r="I171" t="str">
        <f>IF(F171="","",IFERROR(VLOOKUP(F171,Sales_Tax_Settings!$A$15:$B$27,2,FALSE),"Tax Unknown"))</f>
        <v/>
      </c>
      <c r="J171" t="str">
        <f t="shared" si="15"/>
        <v/>
      </c>
      <c r="K171" t="str">
        <f>IF(AND(Sales_Tax_Settings!$B$5="Yes",G171="Personal Expense",J171="Taxable"),"Yes","No")</f>
        <v>No</v>
      </c>
      <c r="L171" s="4">
        <f t="shared" si="16"/>
        <v>0</v>
      </c>
      <c r="M171" s="4">
        <f t="shared" si="17"/>
        <v>0</v>
      </c>
      <c r="N171" s="4">
        <f t="shared" si="18"/>
        <v>0</v>
      </c>
      <c r="O171" s="4">
        <f t="shared" si="19"/>
        <v>0</v>
      </c>
      <c r="P171" s="4">
        <f>IF(K171&lt;&gt;"Yes",0,IF(Sales_Tax_Settings!$B$6="Yes",E171/(1+Sales_Tax_Settings!$B$10),E171))</f>
        <v>0</v>
      </c>
      <c r="Q171" s="4">
        <f>IF(K171&lt;&gt;"Yes",0,P171*Sales_Tax_Settings!$B$8)</f>
        <v>0</v>
      </c>
      <c r="R171" s="4">
        <f>IF(K171&lt;&gt;"Yes",0,P171*Sales_Tax_Settings!$B$9)</f>
        <v>0</v>
      </c>
      <c r="S171" s="4">
        <f t="shared" si="20"/>
        <v>0</v>
      </c>
    </row>
    <row r="172" spans="1:19" x14ac:dyDescent="0.3">
      <c r="A172" t="str">
        <f>IF(Expense_Input!A172="","",Expense_Input!A172)</f>
        <v/>
      </c>
      <c r="B172" t="str">
        <f>IF(Expense_Input!B172="","",Expense_Input!B172)</f>
        <v/>
      </c>
      <c r="C172" t="str">
        <f t="shared" si="14"/>
        <v/>
      </c>
      <c r="D172" t="str">
        <f>IF(Expense_Input!C172="","",Expense_Input!C172)</f>
        <v/>
      </c>
      <c r="E172" s="4" t="str">
        <f>IF(Expense_Input!D172="","",Expense_Input!D172)</f>
        <v/>
      </c>
      <c r="F172" t="str">
        <f>IF(Expense_Input!E172="","",Expense_Input!E172)</f>
        <v/>
      </c>
      <c r="G172" t="str">
        <f>IF(Expense_Input!H172="","",Expense_Input!H172)</f>
        <v/>
      </c>
      <c r="H172" t="str">
        <f>IF(Expense_Input!I172="","Auto",Expense_Input!I172)</f>
        <v>Auto</v>
      </c>
      <c r="I172" t="str">
        <f>IF(F172="","",IFERROR(VLOOKUP(F172,Sales_Tax_Settings!$A$15:$B$27,2,FALSE),"Tax Unknown"))</f>
        <v/>
      </c>
      <c r="J172" t="str">
        <f t="shared" si="15"/>
        <v/>
      </c>
      <c r="K172" t="str">
        <f>IF(AND(Sales_Tax_Settings!$B$5="Yes",G172="Personal Expense",J172="Taxable"),"Yes","No")</f>
        <v>No</v>
      </c>
      <c r="L172" s="4">
        <f t="shared" si="16"/>
        <v>0</v>
      </c>
      <c r="M172" s="4">
        <f t="shared" si="17"/>
        <v>0</v>
      </c>
      <c r="N172" s="4">
        <f t="shared" si="18"/>
        <v>0</v>
      </c>
      <c r="O172" s="4">
        <f t="shared" si="19"/>
        <v>0</v>
      </c>
      <c r="P172" s="4">
        <f>IF(K172&lt;&gt;"Yes",0,IF(Sales_Tax_Settings!$B$6="Yes",E172/(1+Sales_Tax_Settings!$B$10),E172))</f>
        <v>0</v>
      </c>
      <c r="Q172" s="4">
        <f>IF(K172&lt;&gt;"Yes",0,P172*Sales_Tax_Settings!$B$8)</f>
        <v>0</v>
      </c>
      <c r="R172" s="4">
        <f>IF(K172&lt;&gt;"Yes",0,P172*Sales_Tax_Settings!$B$9)</f>
        <v>0</v>
      </c>
      <c r="S172" s="4">
        <f t="shared" si="20"/>
        <v>0</v>
      </c>
    </row>
    <row r="173" spans="1:19" x14ac:dyDescent="0.3">
      <c r="A173" t="str">
        <f>IF(Expense_Input!A173="","",Expense_Input!A173)</f>
        <v/>
      </c>
      <c r="B173" t="str">
        <f>IF(Expense_Input!B173="","",Expense_Input!B173)</f>
        <v/>
      </c>
      <c r="C173" t="str">
        <f t="shared" si="14"/>
        <v/>
      </c>
      <c r="D173" t="str">
        <f>IF(Expense_Input!C173="","",Expense_Input!C173)</f>
        <v/>
      </c>
      <c r="E173" s="4" t="str">
        <f>IF(Expense_Input!D173="","",Expense_Input!D173)</f>
        <v/>
      </c>
      <c r="F173" t="str">
        <f>IF(Expense_Input!E173="","",Expense_Input!E173)</f>
        <v/>
      </c>
      <c r="G173" t="str">
        <f>IF(Expense_Input!H173="","",Expense_Input!H173)</f>
        <v/>
      </c>
      <c r="H173" t="str">
        <f>IF(Expense_Input!I173="","Auto",Expense_Input!I173)</f>
        <v>Auto</v>
      </c>
      <c r="I173" t="str">
        <f>IF(F173="","",IFERROR(VLOOKUP(F173,Sales_Tax_Settings!$A$15:$B$27,2,FALSE),"Tax Unknown"))</f>
        <v/>
      </c>
      <c r="J173" t="str">
        <f t="shared" si="15"/>
        <v/>
      </c>
      <c r="K173" t="str">
        <f>IF(AND(Sales_Tax_Settings!$B$5="Yes",G173="Personal Expense",J173="Taxable"),"Yes","No")</f>
        <v>No</v>
      </c>
      <c r="L173" s="4">
        <f t="shared" si="16"/>
        <v>0</v>
      </c>
      <c r="M173" s="4">
        <f t="shared" si="17"/>
        <v>0</v>
      </c>
      <c r="N173" s="4">
        <f t="shared" si="18"/>
        <v>0</v>
      </c>
      <c r="O173" s="4">
        <f t="shared" si="19"/>
        <v>0</v>
      </c>
      <c r="P173" s="4">
        <f>IF(K173&lt;&gt;"Yes",0,IF(Sales_Tax_Settings!$B$6="Yes",E173/(1+Sales_Tax_Settings!$B$10),E173))</f>
        <v>0</v>
      </c>
      <c r="Q173" s="4">
        <f>IF(K173&lt;&gt;"Yes",0,P173*Sales_Tax_Settings!$B$8)</f>
        <v>0</v>
      </c>
      <c r="R173" s="4">
        <f>IF(K173&lt;&gt;"Yes",0,P173*Sales_Tax_Settings!$B$9)</f>
        <v>0</v>
      </c>
      <c r="S173" s="4">
        <f t="shared" si="20"/>
        <v>0</v>
      </c>
    </row>
    <row r="174" spans="1:19" x14ac:dyDescent="0.3">
      <c r="A174" t="str">
        <f>IF(Expense_Input!A174="","",Expense_Input!A174)</f>
        <v/>
      </c>
      <c r="B174" t="str">
        <f>IF(Expense_Input!B174="","",Expense_Input!B174)</f>
        <v/>
      </c>
      <c r="C174" t="str">
        <f t="shared" si="14"/>
        <v/>
      </c>
      <c r="D174" t="str">
        <f>IF(Expense_Input!C174="","",Expense_Input!C174)</f>
        <v/>
      </c>
      <c r="E174" s="4" t="str">
        <f>IF(Expense_Input!D174="","",Expense_Input!D174)</f>
        <v/>
      </c>
      <c r="F174" t="str">
        <f>IF(Expense_Input!E174="","",Expense_Input!E174)</f>
        <v/>
      </c>
      <c r="G174" t="str">
        <f>IF(Expense_Input!H174="","",Expense_Input!H174)</f>
        <v/>
      </c>
      <c r="H174" t="str">
        <f>IF(Expense_Input!I174="","Auto",Expense_Input!I174)</f>
        <v>Auto</v>
      </c>
      <c r="I174" t="str">
        <f>IF(F174="","",IFERROR(VLOOKUP(F174,Sales_Tax_Settings!$A$15:$B$27,2,FALSE),"Tax Unknown"))</f>
        <v/>
      </c>
      <c r="J174" t="str">
        <f t="shared" si="15"/>
        <v/>
      </c>
      <c r="K174" t="str">
        <f>IF(AND(Sales_Tax_Settings!$B$5="Yes",G174="Personal Expense",J174="Taxable"),"Yes","No")</f>
        <v>No</v>
      </c>
      <c r="L174" s="4">
        <f t="shared" si="16"/>
        <v>0</v>
      </c>
      <c r="M174" s="4">
        <f t="shared" si="17"/>
        <v>0</v>
      </c>
      <c r="N174" s="4">
        <f t="shared" si="18"/>
        <v>0</v>
      </c>
      <c r="O174" s="4">
        <f t="shared" si="19"/>
        <v>0</v>
      </c>
      <c r="P174" s="4">
        <f>IF(K174&lt;&gt;"Yes",0,IF(Sales_Tax_Settings!$B$6="Yes",E174/(1+Sales_Tax_Settings!$B$10),E174))</f>
        <v>0</v>
      </c>
      <c r="Q174" s="4">
        <f>IF(K174&lt;&gt;"Yes",0,P174*Sales_Tax_Settings!$B$8)</f>
        <v>0</v>
      </c>
      <c r="R174" s="4">
        <f>IF(K174&lt;&gt;"Yes",0,P174*Sales_Tax_Settings!$B$9)</f>
        <v>0</v>
      </c>
      <c r="S174" s="4">
        <f t="shared" si="20"/>
        <v>0</v>
      </c>
    </row>
    <row r="175" spans="1:19" x14ac:dyDescent="0.3">
      <c r="A175" t="str">
        <f>IF(Expense_Input!A175="","",Expense_Input!A175)</f>
        <v/>
      </c>
      <c r="B175" t="str">
        <f>IF(Expense_Input!B175="","",Expense_Input!B175)</f>
        <v/>
      </c>
      <c r="C175" t="str">
        <f t="shared" si="14"/>
        <v/>
      </c>
      <c r="D175" t="str">
        <f>IF(Expense_Input!C175="","",Expense_Input!C175)</f>
        <v/>
      </c>
      <c r="E175" s="4" t="str">
        <f>IF(Expense_Input!D175="","",Expense_Input!D175)</f>
        <v/>
      </c>
      <c r="F175" t="str">
        <f>IF(Expense_Input!E175="","",Expense_Input!E175)</f>
        <v/>
      </c>
      <c r="G175" t="str">
        <f>IF(Expense_Input!H175="","",Expense_Input!H175)</f>
        <v/>
      </c>
      <c r="H175" t="str">
        <f>IF(Expense_Input!I175="","Auto",Expense_Input!I175)</f>
        <v>Auto</v>
      </c>
      <c r="I175" t="str">
        <f>IF(F175="","",IFERROR(VLOOKUP(F175,Sales_Tax_Settings!$A$15:$B$27,2,FALSE),"Tax Unknown"))</f>
        <v/>
      </c>
      <c r="J175" t="str">
        <f t="shared" si="15"/>
        <v/>
      </c>
      <c r="K175" t="str">
        <f>IF(AND(Sales_Tax_Settings!$B$5="Yes",G175="Personal Expense",J175="Taxable"),"Yes","No")</f>
        <v>No</v>
      </c>
      <c r="L175" s="4">
        <f t="shared" si="16"/>
        <v>0</v>
      </c>
      <c r="M175" s="4">
        <f t="shared" si="17"/>
        <v>0</v>
      </c>
      <c r="N175" s="4">
        <f t="shared" si="18"/>
        <v>0</v>
      </c>
      <c r="O175" s="4">
        <f t="shared" si="19"/>
        <v>0</v>
      </c>
      <c r="P175" s="4">
        <f>IF(K175&lt;&gt;"Yes",0,IF(Sales_Tax_Settings!$B$6="Yes",E175/(1+Sales_Tax_Settings!$B$10),E175))</f>
        <v>0</v>
      </c>
      <c r="Q175" s="4">
        <f>IF(K175&lt;&gt;"Yes",0,P175*Sales_Tax_Settings!$B$8)</f>
        <v>0</v>
      </c>
      <c r="R175" s="4">
        <f>IF(K175&lt;&gt;"Yes",0,P175*Sales_Tax_Settings!$B$9)</f>
        <v>0</v>
      </c>
      <c r="S175" s="4">
        <f t="shared" si="20"/>
        <v>0</v>
      </c>
    </row>
    <row r="176" spans="1:19" x14ac:dyDescent="0.3">
      <c r="A176" t="str">
        <f>IF(Expense_Input!A176="","",Expense_Input!A176)</f>
        <v/>
      </c>
      <c r="B176" t="str">
        <f>IF(Expense_Input!B176="","",Expense_Input!B176)</f>
        <v/>
      </c>
      <c r="C176" t="str">
        <f t="shared" si="14"/>
        <v/>
      </c>
      <c r="D176" t="str">
        <f>IF(Expense_Input!C176="","",Expense_Input!C176)</f>
        <v/>
      </c>
      <c r="E176" s="4" t="str">
        <f>IF(Expense_Input!D176="","",Expense_Input!D176)</f>
        <v/>
      </c>
      <c r="F176" t="str">
        <f>IF(Expense_Input!E176="","",Expense_Input!E176)</f>
        <v/>
      </c>
      <c r="G176" t="str">
        <f>IF(Expense_Input!H176="","",Expense_Input!H176)</f>
        <v/>
      </c>
      <c r="H176" t="str">
        <f>IF(Expense_Input!I176="","Auto",Expense_Input!I176)</f>
        <v>Auto</v>
      </c>
      <c r="I176" t="str">
        <f>IF(F176="","",IFERROR(VLOOKUP(F176,Sales_Tax_Settings!$A$15:$B$27,2,FALSE),"Tax Unknown"))</f>
        <v/>
      </c>
      <c r="J176" t="str">
        <f t="shared" si="15"/>
        <v/>
      </c>
      <c r="K176" t="str">
        <f>IF(AND(Sales_Tax_Settings!$B$5="Yes",G176="Personal Expense",J176="Taxable"),"Yes","No")</f>
        <v>No</v>
      </c>
      <c r="L176" s="4">
        <f t="shared" si="16"/>
        <v>0</v>
      </c>
      <c r="M176" s="4">
        <f t="shared" si="17"/>
        <v>0</v>
      </c>
      <c r="N176" s="4">
        <f t="shared" si="18"/>
        <v>0</v>
      </c>
      <c r="O176" s="4">
        <f t="shared" si="19"/>
        <v>0</v>
      </c>
      <c r="P176" s="4">
        <f>IF(K176&lt;&gt;"Yes",0,IF(Sales_Tax_Settings!$B$6="Yes",E176/(1+Sales_Tax_Settings!$B$10),E176))</f>
        <v>0</v>
      </c>
      <c r="Q176" s="4">
        <f>IF(K176&lt;&gt;"Yes",0,P176*Sales_Tax_Settings!$B$8)</f>
        <v>0</v>
      </c>
      <c r="R176" s="4">
        <f>IF(K176&lt;&gt;"Yes",0,P176*Sales_Tax_Settings!$B$9)</f>
        <v>0</v>
      </c>
      <c r="S176" s="4">
        <f t="shared" si="20"/>
        <v>0</v>
      </c>
    </row>
    <row r="177" spans="1:19" x14ac:dyDescent="0.3">
      <c r="A177" t="str">
        <f>IF(Expense_Input!A177="","",Expense_Input!A177)</f>
        <v/>
      </c>
      <c r="B177" t="str">
        <f>IF(Expense_Input!B177="","",Expense_Input!B177)</f>
        <v/>
      </c>
      <c r="C177" t="str">
        <f t="shared" si="14"/>
        <v/>
      </c>
      <c r="D177" t="str">
        <f>IF(Expense_Input!C177="","",Expense_Input!C177)</f>
        <v/>
      </c>
      <c r="E177" s="4" t="str">
        <f>IF(Expense_Input!D177="","",Expense_Input!D177)</f>
        <v/>
      </c>
      <c r="F177" t="str">
        <f>IF(Expense_Input!E177="","",Expense_Input!E177)</f>
        <v/>
      </c>
      <c r="G177" t="str">
        <f>IF(Expense_Input!H177="","",Expense_Input!H177)</f>
        <v/>
      </c>
      <c r="H177" t="str">
        <f>IF(Expense_Input!I177="","Auto",Expense_Input!I177)</f>
        <v>Auto</v>
      </c>
      <c r="I177" t="str">
        <f>IF(F177="","",IFERROR(VLOOKUP(F177,Sales_Tax_Settings!$A$15:$B$27,2,FALSE),"Tax Unknown"))</f>
        <v/>
      </c>
      <c r="J177" t="str">
        <f t="shared" si="15"/>
        <v/>
      </c>
      <c r="K177" t="str">
        <f>IF(AND(Sales_Tax_Settings!$B$5="Yes",G177="Personal Expense",J177="Taxable"),"Yes","No")</f>
        <v>No</v>
      </c>
      <c r="L177" s="4">
        <f t="shared" si="16"/>
        <v>0</v>
      </c>
      <c r="M177" s="4">
        <f t="shared" si="17"/>
        <v>0</v>
      </c>
      <c r="N177" s="4">
        <f t="shared" si="18"/>
        <v>0</v>
      </c>
      <c r="O177" s="4">
        <f t="shared" si="19"/>
        <v>0</v>
      </c>
      <c r="P177" s="4">
        <f>IF(K177&lt;&gt;"Yes",0,IF(Sales_Tax_Settings!$B$6="Yes",E177/(1+Sales_Tax_Settings!$B$10),E177))</f>
        <v>0</v>
      </c>
      <c r="Q177" s="4">
        <f>IF(K177&lt;&gt;"Yes",0,P177*Sales_Tax_Settings!$B$8)</f>
        <v>0</v>
      </c>
      <c r="R177" s="4">
        <f>IF(K177&lt;&gt;"Yes",0,P177*Sales_Tax_Settings!$B$9)</f>
        <v>0</v>
      </c>
      <c r="S177" s="4">
        <f t="shared" si="20"/>
        <v>0</v>
      </c>
    </row>
    <row r="178" spans="1:19" x14ac:dyDescent="0.3">
      <c r="A178" t="str">
        <f>IF(Expense_Input!A178="","",Expense_Input!A178)</f>
        <v/>
      </c>
      <c r="B178" t="str">
        <f>IF(Expense_Input!B178="","",Expense_Input!B178)</f>
        <v/>
      </c>
      <c r="C178" t="str">
        <f t="shared" si="14"/>
        <v/>
      </c>
      <c r="D178" t="str">
        <f>IF(Expense_Input!C178="","",Expense_Input!C178)</f>
        <v/>
      </c>
      <c r="E178" s="4" t="str">
        <f>IF(Expense_Input!D178="","",Expense_Input!D178)</f>
        <v/>
      </c>
      <c r="F178" t="str">
        <f>IF(Expense_Input!E178="","",Expense_Input!E178)</f>
        <v/>
      </c>
      <c r="G178" t="str">
        <f>IF(Expense_Input!H178="","",Expense_Input!H178)</f>
        <v/>
      </c>
      <c r="H178" t="str">
        <f>IF(Expense_Input!I178="","Auto",Expense_Input!I178)</f>
        <v>Auto</v>
      </c>
      <c r="I178" t="str">
        <f>IF(F178="","",IFERROR(VLOOKUP(F178,Sales_Tax_Settings!$A$15:$B$27,2,FALSE),"Tax Unknown"))</f>
        <v/>
      </c>
      <c r="J178" t="str">
        <f t="shared" si="15"/>
        <v/>
      </c>
      <c r="K178" t="str">
        <f>IF(AND(Sales_Tax_Settings!$B$5="Yes",G178="Personal Expense",J178="Taxable"),"Yes","No")</f>
        <v>No</v>
      </c>
      <c r="L178" s="4">
        <f t="shared" si="16"/>
        <v>0</v>
      </c>
      <c r="M178" s="4">
        <f t="shared" si="17"/>
        <v>0</v>
      </c>
      <c r="N178" s="4">
        <f t="shared" si="18"/>
        <v>0</v>
      </c>
      <c r="O178" s="4">
        <f t="shared" si="19"/>
        <v>0</v>
      </c>
      <c r="P178" s="4">
        <f>IF(K178&lt;&gt;"Yes",0,IF(Sales_Tax_Settings!$B$6="Yes",E178/(1+Sales_Tax_Settings!$B$10),E178))</f>
        <v>0</v>
      </c>
      <c r="Q178" s="4">
        <f>IF(K178&lt;&gt;"Yes",0,P178*Sales_Tax_Settings!$B$8)</f>
        <v>0</v>
      </c>
      <c r="R178" s="4">
        <f>IF(K178&lt;&gt;"Yes",0,P178*Sales_Tax_Settings!$B$9)</f>
        <v>0</v>
      </c>
      <c r="S178" s="4">
        <f t="shared" si="20"/>
        <v>0</v>
      </c>
    </row>
    <row r="179" spans="1:19" x14ac:dyDescent="0.3">
      <c r="A179" t="str">
        <f>IF(Expense_Input!A179="","",Expense_Input!A179)</f>
        <v/>
      </c>
      <c r="B179" t="str">
        <f>IF(Expense_Input!B179="","",Expense_Input!B179)</f>
        <v/>
      </c>
      <c r="C179" t="str">
        <f t="shared" si="14"/>
        <v/>
      </c>
      <c r="D179" t="str">
        <f>IF(Expense_Input!C179="","",Expense_Input!C179)</f>
        <v/>
      </c>
      <c r="E179" s="4" t="str">
        <f>IF(Expense_Input!D179="","",Expense_Input!D179)</f>
        <v/>
      </c>
      <c r="F179" t="str">
        <f>IF(Expense_Input!E179="","",Expense_Input!E179)</f>
        <v/>
      </c>
      <c r="G179" t="str">
        <f>IF(Expense_Input!H179="","",Expense_Input!H179)</f>
        <v/>
      </c>
      <c r="H179" t="str">
        <f>IF(Expense_Input!I179="","Auto",Expense_Input!I179)</f>
        <v>Auto</v>
      </c>
      <c r="I179" t="str">
        <f>IF(F179="","",IFERROR(VLOOKUP(F179,Sales_Tax_Settings!$A$15:$B$27,2,FALSE),"Tax Unknown"))</f>
        <v/>
      </c>
      <c r="J179" t="str">
        <f t="shared" si="15"/>
        <v/>
      </c>
      <c r="K179" t="str">
        <f>IF(AND(Sales_Tax_Settings!$B$5="Yes",G179="Personal Expense",J179="Taxable"),"Yes","No")</f>
        <v>No</v>
      </c>
      <c r="L179" s="4">
        <f t="shared" si="16"/>
        <v>0</v>
      </c>
      <c r="M179" s="4">
        <f t="shared" si="17"/>
        <v>0</v>
      </c>
      <c r="N179" s="4">
        <f t="shared" si="18"/>
        <v>0</v>
      </c>
      <c r="O179" s="4">
        <f t="shared" si="19"/>
        <v>0</v>
      </c>
      <c r="P179" s="4">
        <f>IF(K179&lt;&gt;"Yes",0,IF(Sales_Tax_Settings!$B$6="Yes",E179/(1+Sales_Tax_Settings!$B$10),E179))</f>
        <v>0</v>
      </c>
      <c r="Q179" s="4">
        <f>IF(K179&lt;&gt;"Yes",0,P179*Sales_Tax_Settings!$B$8)</f>
        <v>0</v>
      </c>
      <c r="R179" s="4">
        <f>IF(K179&lt;&gt;"Yes",0,P179*Sales_Tax_Settings!$B$9)</f>
        <v>0</v>
      </c>
      <c r="S179" s="4">
        <f t="shared" si="20"/>
        <v>0</v>
      </c>
    </row>
    <row r="180" spans="1:19" x14ac:dyDescent="0.3">
      <c r="A180" t="str">
        <f>IF(Expense_Input!A180="","",Expense_Input!A180)</f>
        <v/>
      </c>
      <c r="B180" t="str">
        <f>IF(Expense_Input!B180="","",Expense_Input!B180)</f>
        <v/>
      </c>
      <c r="C180" t="str">
        <f t="shared" si="14"/>
        <v/>
      </c>
      <c r="D180" t="str">
        <f>IF(Expense_Input!C180="","",Expense_Input!C180)</f>
        <v/>
      </c>
      <c r="E180" s="4" t="str">
        <f>IF(Expense_Input!D180="","",Expense_Input!D180)</f>
        <v/>
      </c>
      <c r="F180" t="str">
        <f>IF(Expense_Input!E180="","",Expense_Input!E180)</f>
        <v/>
      </c>
      <c r="G180" t="str">
        <f>IF(Expense_Input!H180="","",Expense_Input!H180)</f>
        <v/>
      </c>
      <c r="H180" t="str">
        <f>IF(Expense_Input!I180="","Auto",Expense_Input!I180)</f>
        <v>Auto</v>
      </c>
      <c r="I180" t="str">
        <f>IF(F180="","",IFERROR(VLOOKUP(F180,Sales_Tax_Settings!$A$15:$B$27,2,FALSE),"Tax Unknown"))</f>
        <v/>
      </c>
      <c r="J180" t="str">
        <f t="shared" si="15"/>
        <v/>
      </c>
      <c r="K180" t="str">
        <f>IF(AND(Sales_Tax_Settings!$B$5="Yes",G180="Personal Expense",J180="Taxable"),"Yes","No")</f>
        <v>No</v>
      </c>
      <c r="L180" s="4">
        <f t="shared" si="16"/>
        <v>0</v>
      </c>
      <c r="M180" s="4">
        <f t="shared" si="17"/>
        <v>0</v>
      </c>
      <c r="N180" s="4">
        <f t="shared" si="18"/>
        <v>0</v>
      </c>
      <c r="O180" s="4">
        <f t="shared" si="19"/>
        <v>0</v>
      </c>
      <c r="P180" s="4">
        <f>IF(K180&lt;&gt;"Yes",0,IF(Sales_Tax_Settings!$B$6="Yes",E180/(1+Sales_Tax_Settings!$B$10),E180))</f>
        <v>0</v>
      </c>
      <c r="Q180" s="4">
        <f>IF(K180&lt;&gt;"Yes",0,P180*Sales_Tax_Settings!$B$8)</f>
        <v>0</v>
      </c>
      <c r="R180" s="4">
        <f>IF(K180&lt;&gt;"Yes",0,P180*Sales_Tax_Settings!$B$9)</f>
        <v>0</v>
      </c>
      <c r="S180" s="4">
        <f t="shared" si="20"/>
        <v>0</v>
      </c>
    </row>
    <row r="181" spans="1:19" x14ac:dyDescent="0.3">
      <c r="A181" t="str">
        <f>IF(Expense_Input!A181="","",Expense_Input!A181)</f>
        <v/>
      </c>
      <c r="B181" t="str">
        <f>IF(Expense_Input!B181="","",Expense_Input!B181)</f>
        <v/>
      </c>
      <c r="C181" t="str">
        <f t="shared" si="14"/>
        <v/>
      </c>
      <c r="D181" t="str">
        <f>IF(Expense_Input!C181="","",Expense_Input!C181)</f>
        <v/>
      </c>
      <c r="E181" s="4" t="str">
        <f>IF(Expense_Input!D181="","",Expense_Input!D181)</f>
        <v/>
      </c>
      <c r="F181" t="str">
        <f>IF(Expense_Input!E181="","",Expense_Input!E181)</f>
        <v/>
      </c>
      <c r="G181" t="str">
        <f>IF(Expense_Input!H181="","",Expense_Input!H181)</f>
        <v/>
      </c>
      <c r="H181" t="str">
        <f>IF(Expense_Input!I181="","Auto",Expense_Input!I181)</f>
        <v>Auto</v>
      </c>
      <c r="I181" t="str">
        <f>IF(F181="","",IFERROR(VLOOKUP(F181,Sales_Tax_Settings!$A$15:$B$27,2,FALSE),"Tax Unknown"))</f>
        <v/>
      </c>
      <c r="J181" t="str">
        <f t="shared" si="15"/>
        <v/>
      </c>
      <c r="K181" t="str">
        <f>IF(AND(Sales_Tax_Settings!$B$5="Yes",G181="Personal Expense",J181="Taxable"),"Yes","No")</f>
        <v>No</v>
      </c>
      <c r="L181" s="4">
        <f t="shared" si="16"/>
        <v>0</v>
      </c>
      <c r="M181" s="4">
        <f t="shared" si="17"/>
        <v>0</v>
      </c>
      <c r="N181" s="4">
        <f t="shared" si="18"/>
        <v>0</v>
      </c>
      <c r="O181" s="4">
        <f t="shared" si="19"/>
        <v>0</v>
      </c>
      <c r="P181" s="4">
        <f>IF(K181&lt;&gt;"Yes",0,IF(Sales_Tax_Settings!$B$6="Yes",E181/(1+Sales_Tax_Settings!$B$10),E181))</f>
        <v>0</v>
      </c>
      <c r="Q181" s="4">
        <f>IF(K181&lt;&gt;"Yes",0,P181*Sales_Tax_Settings!$B$8)</f>
        <v>0</v>
      </c>
      <c r="R181" s="4">
        <f>IF(K181&lt;&gt;"Yes",0,P181*Sales_Tax_Settings!$B$9)</f>
        <v>0</v>
      </c>
      <c r="S181" s="4">
        <f t="shared" si="20"/>
        <v>0</v>
      </c>
    </row>
    <row r="182" spans="1:19" x14ac:dyDescent="0.3">
      <c r="A182" t="str">
        <f>IF(Expense_Input!A182="","",Expense_Input!A182)</f>
        <v/>
      </c>
      <c r="B182" t="str">
        <f>IF(Expense_Input!B182="","",Expense_Input!B182)</f>
        <v/>
      </c>
      <c r="C182" t="str">
        <f t="shared" si="14"/>
        <v/>
      </c>
      <c r="D182" t="str">
        <f>IF(Expense_Input!C182="","",Expense_Input!C182)</f>
        <v/>
      </c>
      <c r="E182" s="4" t="str">
        <f>IF(Expense_Input!D182="","",Expense_Input!D182)</f>
        <v/>
      </c>
      <c r="F182" t="str">
        <f>IF(Expense_Input!E182="","",Expense_Input!E182)</f>
        <v/>
      </c>
      <c r="G182" t="str">
        <f>IF(Expense_Input!H182="","",Expense_Input!H182)</f>
        <v/>
      </c>
      <c r="H182" t="str">
        <f>IF(Expense_Input!I182="","Auto",Expense_Input!I182)</f>
        <v>Auto</v>
      </c>
      <c r="I182" t="str">
        <f>IF(F182="","",IFERROR(VLOOKUP(F182,Sales_Tax_Settings!$A$15:$B$27,2,FALSE),"Tax Unknown"))</f>
        <v/>
      </c>
      <c r="J182" t="str">
        <f t="shared" si="15"/>
        <v/>
      </c>
      <c r="K182" t="str">
        <f>IF(AND(Sales_Tax_Settings!$B$5="Yes",G182="Personal Expense",J182="Taxable"),"Yes","No")</f>
        <v>No</v>
      </c>
      <c r="L182" s="4">
        <f t="shared" si="16"/>
        <v>0</v>
      </c>
      <c r="M182" s="4">
        <f t="shared" si="17"/>
        <v>0</v>
      </c>
      <c r="N182" s="4">
        <f t="shared" si="18"/>
        <v>0</v>
      </c>
      <c r="O182" s="4">
        <f t="shared" si="19"/>
        <v>0</v>
      </c>
      <c r="P182" s="4">
        <f>IF(K182&lt;&gt;"Yes",0,IF(Sales_Tax_Settings!$B$6="Yes",E182/(1+Sales_Tax_Settings!$B$10),E182))</f>
        <v>0</v>
      </c>
      <c r="Q182" s="4">
        <f>IF(K182&lt;&gt;"Yes",0,P182*Sales_Tax_Settings!$B$8)</f>
        <v>0</v>
      </c>
      <c r="R182" s="4">
        <f>IF(K182&lt;&gt;"Yes",0,P182*Sales_Tax_Settings!$B$9)</f>
        <v>0</v>
      </c>
      <c r="S182" s="4">
        <f t="shared" si="20"/>
        <v>0</v>
      </c>
    </row>
    <row r="183" spans="1:19" x14ac:dyDescent="0.3">
      <c r="A183" t="str">
        <f>IF(Expense_Input!A183="","",Expense_Input!A183)</f>
        <v/>
      </c>
      <c r="B183" t="str">
        <f>IF(Expense_Input!B183="","",Expense_Input!B183)</f>
        <v/>
      </c>
      <c r="C183" t="str">
        <f t="shared" si="14"/>
        <v/>
      </c>
      <c r="D183" t="str">
        <f>IF(Expense_Input!C183="","",Expense_Input!C183)</f>
        <v/>
      </c>
      <c r="E183" s="4" t="str">
        <f>IF(Expense_Input!D183="","",Expense_Input!D183)</f>
        <v/>
      </c>
      <c r="F183" t="str">
        <f>IF(Expense_Input!E183="","",Expense_Input!E183)</f>
        <v/>
      </c>
      <c r="G183" t="str">
        <f>IF(Expense_Input!H183="","",Expense_Input!H183)</f>
        <v/>
      </c>
      <c r="H183" t="str">
        <f>IF(Expense_Input!I183="","Auto",Expense_Input!I183)</f>
        <v>Auto</v>
      </c>
      <c r="I183" t="str">
        <f>IF(F183="","",IFERROR(VLOOKUP(F183,Sales_Tax_Settings!$A$15:$B$27,2,FALSE),"Tax Unknown"))</f>
        <v/>
      </c>
      <c r="J183" t="str">
        <f t="shared" si="15"/>
        <v/>
      </c>
      <c r="K183" t="str">
        <f>IF(AND(Sales_Tax_Settings!$B$5="Yes",G183="Personal Expense",J183="Taxable"),"Yes","No")</f>
        <v>No</v>
      </c>
      <c r="L183" s="4">
        <f t="shared" si="16"/>
        <v>0</v>
      </c>
      <c r="M183" s="4">
        <f t="shared" si="17"/>
        <v>0</v>
      </c>
      <c r="N183" s="4">
        <f t="shared" si="18"/>
        <v>0</v>
      </c>
      <c r="O183" s="4">
        <f t="shared" si="19"/>
        <v>0</v>
      </c>
      <c r="P183" s="4">
        <f>IF(K183&lt;&gt;"Yes",0,IF(Sales_Tax_Settings!$B$6="Yes",E183/(1+Sales_Tax_Settings!$B$10),E183))</f>
        <v>0</v>
      </c>
      <c r="Q183" s="4">
        <f>IF(K183&lt;&gt;"Yes",0,P183*Sales_Tax_Settings!$B$8)</f>
        <v>0</v>
      </c>
      <c r="R183" s="4">
        <f>IF(K183&lt;&gt;"Yes",0,P183*Sales_Tax_Settings!$B$9)</f>
        <v>0</v>
      </c>
      <c r="S183" s="4">
        <f t="shared" si="20"/>
        <v>0</v>
      </c>
    </row>
    <row r="184" spans="1:19" x14ac:dyDescent="0.3">
      <c r="A184" t="str">
        <f>IF(Expense_Input!A184="","",Expense_Input!A184)</f>
        <v/>
      </c>
      <c r="B184" t="str">
        <f>IF(Expense_Input!B184="","",Expense_Input!B184)</f>
        <v/>
      </c>
      <c r="C184" t="str">
        <f t="shared" si="14"/>
        <v/>
      </c>
      <c r="D184" t="str">
        <f>IF(Expense_Input!C184="","",Expense_Input!C184)</f>
        <v/>
      </c>
      <c r="E184" s="4" t="str">
        <f>IF(Expense_Input!D184="","",Expense_Input!D184)</f>
        <v/>
      </c>
      <c r="F184" t="str">
        <f>IF(Expense_Input!E184="","",Expense_Input!E184)</f>
        <v/>
      </c>
      <c r="G184" t="str">
        <f>IF(Expense_Input!H184="","",Expense_Input!H184)</f>
        <v/>
      </c>
      <c r="H184" t="str">
        <f>IF(Expense_Input!I184="","Auto",Expense_Input!I184)</f>
        <v>Auto</v>
      </c>
      <c r="I184" t="str">
        <f>IF(F184="","",IFERROR(VLOOKUP(F184,Sales_Tax_Settings!$A$15:$B$27,2,FALSE),"Tax Unknown"))</f>
        <v/>
      </c>
      <c r="J184" t="str">
        <f t="shared" si="15"/>
        <v/>
      </c>
      <c r="K184" t="str">
        <f>IF(AND(Sales_Tax_Settings!$B$5="Yes",G184="Personal Expense",J184="Taxable"),"Yes","No")</f>
        <v>No</v>
      </c>
      <c r="L184" s="4">
        <f t="shared" si="16"/>
        <v>0</v>
      </c>
      <c r="M184" s="4">
        <f t="shared" si="17"/>
        <v>0</v>
      </c>
      <c r="N184" s="4">
        <f t="shared" si="18"/>
        <v>0</v>
      </c>
      <c r="O184" s="4">
        <f t="shared" si="19"/>
        <v>0</v>
      </c>
      <c r="P184" s="4">
        <f>IF(K184&lt;&gt;"Yes",0,IF(Sales_Tax_Settings!$B$6="Yes",E184/(1+Sales_Tax_Settings!$B$10),E184))</f>
        <v>0</v>
      </c>
      <c r="Q184" s="4">
        <f>IF(K184&lt;&gt;"Yes",0,P184*Sales_Tax_Settings!$B$8)</f>
        <v>0</v>
      </c>
      <c r="R184" s="4">
        <f>IF(K184&lt;&gt;"Yes",0,P184*Sales_Tax_Settings!$B$9)</f>
        <v>0</v>
      </c>
      <c r="S184" s="4">
        <f t="shared" si="20"/>
        <v>0</v>
      </c>
    </row>
    <row r="185" spans="1:19" x14ac:dyDescent="0.3">
      <c r="A185" t="str">
        <f>IF(Expense_Input!A185="","",Expense_Input!A185)</f>
        <v/>
      </c>
      <c r="B185" t="str">
        <f>IF(Expense_Input!B185="","",Expense_Input!B185)</f>
        <v/>
      </c>
      <c r="C185" t="str">
        <f t="shared" si="14"/>
        <v/>
      </c>
      <c r="D185" t="str">
        <f>IF(Expense_Input!C185="","",Expense_Input!C185)</f>
        <v/>
      </c>
      <c r="E185" s="4" t="str">
        <f>IF(Expense_Input!D185="","",Expense_Input!D185)</f>
        <v/>
      </c>
      <c r="F185" t="str">
        <f>IF(Expense_Input!E185="","",Expense_Input!E185)</f>
        <v/>
      </c>
      <c r="G185" t="str">
        <f>IF(Expense_Input!H185="","",Expense_Input!H185)</f>
        <v/>
      </c>
      <c r="H185" t="str">
        <f>IF(Expense_Input!I185="","Auto",Expense_Input!I185)</f>
        <v>Auto</v>
      </c>
      <c r="I185" t="str">
        <f>IF(F185="","",IFERROR(VLOOKUP(F185,Sales_Tax_Settings!$A$15:$B$27,2,FALSE),"Tax Unknown"))</f>
        <v/>
      </c>
      <c r="J185" t="str">
        <f t="shared" si="15"/>
        <v/>
      </c>
      <c r="K185" t="str">
        <f>IF(AND(Sales_Tax_Settings!$B$5="Yes",G185="Personal Expense",J185="Taxable"),"Yes","No")</f>
        <v>No</v>
      </c>
      <c r="L185" s="4">
        <f t="shared" si="16"/>
        <v>0</v>
      </c>
      <c r="M185" s="4">
        <f t="shared" si="17"/>
        <v>0</v>
      </c>
      <c r="N185" s="4">
        <f t="shared" si="18"/>
        <v>0</v>
      </c>
      <c r="O185" s="4">
        <f t="shared" si="19"/>
        <v>0</v>
      </c>
      <c r="P185" s="4">
        <f>IF(K185&lt;&gt;"Yes",0,IF(Sales_Tax_Settings!$B$6="Yes",E185/(1+Sales_Tax_Settings!$B$10),E185))</f>
        <v>0</v>
      </c>
      <c r="Q185" s="4">
        <f>IF(K185&lt;&gt;"Yes",0,P185*Sales_Tax_Settings!$B$8)</f>
        <v>0</v>
      </c>
      <c r="R185" s="4">
        <f>IF(K185&lt;&gt;"Yes",0,P185*Sales_Tax_Settings!$B$9)</f>
        <v>0</v>
      </c>
      <c r="S185" s="4">
        <f t="shared" si="20"/>
        <v>0</v>
      </c>
    </row>
    <row r="186" spans="1:19" x14ac:dyDescent="0.3">
      <c r="A186" t="str">
        <f>IF(Expense_Input!A186="","",Expense_Input!A186)</f>
        <v/>
      </c>
      <c r="B186" t="str">
        <f>IF(Expense_Input!B186="","",Expense_Input!B186)</f>
        <v/>
      </c>
      <c r="C186" t="str">
        <f t="shared" si="14"/>
        <v/>
      </c>
      <c r="D186" t="str">
        <f>IF(Expense_Input!C186="","",Expense_Input!C186)</f>
        <v/>
      </c>
      <c r="E186" s="4" t="str">
        <f>IF(Expense_Input!D186="","",Expense_Input!D186)</f>
        <v/>
      </c>
      <c r="F186" t="str">
        <f>IF(Expense_Input!E186="","",Expense_Input!E186)</f>
        <v/>
      </c>
      <c r="G186" t="str">
        <f>IF(Expense_Input!H186="","",Expense_Input!H186)</f>
        <v/>
      </c>
      <c r="H186" t="str">
        <f>IF(Expense_Input!I186="","Auto",Expense_Input!I186)</f>
        <v>Auto</v>
      </c>
      <c r="I186" t="str">
        <f>IF(F186="","",IFERROR(VLOOKUP(F186,Sales_Tax_Settings!$A$15:$B$27,2,FALSE),"Tax Unknown"))</f>
        <v/>
      </c>
      <c r="J186" t="str">
        <f t="shared" si="15"/>
        <v/>
      </c>
      <c r="K186" t="str">
        <f>IF(AND(Sales_Tax_Settings!$B$5="Yes",G186="Personal Expense",J186="Taxable"),"Yes","No")</f>
        <v>No</v>
      </c>
      <c r="L186" s="4">
        <f t="shared" si="16"/>
        <v>0</v>
      </c>
      <c r="M186" s="4">
        <f t="shared" si="17"/>
        <v>0</v>
      </c>
      <c r="N186" s="4">
        <f t="shared" si="18"/>
        <v>0</v>
      </c>
      <c r="O186" s="4">
        <f t="shared" si="19"/>
        <v>0</v>
      </c>
      <c r="P186" s="4">
        <f>IF(K186&lt;&gt;"Yes",0,IF(Sales_Tax_Settings!$B$6="Yes",E186/(1+Sales_Tax_Settings!$B$10),E186))</f>
        <v>0</v>
      </c>
      <c r="Q186" s="4">
        <f>IF(K186&lt;&gt;"Yes",0,P186*Sales_Tax_Settings!$B$8)</f>
        <v>0</v>
      </c>
      <c r="R186" s="4">
        <f>IF(K186&lt;&gt;"Yes",0,P186*Sales_Tax_Settings!$B$9)</f>
        <v>0</v>
      </c>
      <c r="S186" s="4">
        <f t="shared" si="20"/>
        <v>0</v>
      </c>
    </row>
    <row r="187" spans="1:19" x14ac:dyDescent="0.3">
      <c r="A187" t="str">
        <f>IF(Expense_Input!A187="","",Expense_Input!A187)</f>
        <v/>
      </c>
      <c r="B187" t="str">
        <f>IF(Expense_Input!B187="","",Expense_Input!B187)</f>
        <v/>
      </c>
      <c r="C187" t="str">
        <f t="shared" si="14"/>
        <v/>
      </c>
      <c r="D187" t="str">
        <f>IF(Expense_Input!C187="","",Expense_Input!C187)</f>
        <v/>
      </c>
      <c r="E187" s="4" t="str">
        <f>IF(Expense_Input!D187="","",Expense_Input!D187)</f>
        <v/>
      </c>
      <c r="F187" t="str">
        <f>IF(Expense_Input!E187="","",Expense_Input!E187)</f>
        <v/>
      </c>
      <c r="G187" t="str">
        <f>IF(Expense_Input!H187="","",Expense_Input!H187)</f>
        <v/>
      </c>
      <c r="H187" t="str">
        <f>IF(Expense_Input!I187="","Auto",Expense_Input!I187)</f>
        <v>Auto</v>
      </c>
      <c r="I187" t="str">
        <f>IF(F187="","",IFERROR(VLOOKUP(F187,Sales_Tax_Settings!$A$15:$B$27,2,FALSE),"Tax Unknown"))</f>
        <v/>
      </c>
      <c r="J187" t="str">
        <f t="shared" si="15"/>
        <v/>
      </c>
      <c r="K187" t="str">
        <f>IF(AND(Sales_Tax_Settings!$B$5="Yes",G187="Personal Expense",J187="Taxable"),"Yes","No")</f>
        <v>No</v>
      </c>
      <c r="L187" s="4">
        <f t="shared" si="16"/>
        <v>0</v>
      </c>
      <c r="M187" s="4">
        <f t="shared" si="17"/>
        <v>0</v>
      </c>
      <c r="N187" s="4">
        <f t="shared" si="18"/>
        <v>0</v>
      </c>
      <c r="O187" s="4">
        <f t="shared" si="19"/>
        <v>0</v>
      </c>
      <c r="P187" s="4">
        <f>IF(K187&lt;&gt;"Yes",0,IF(Sales_Tax_Settings!$B$6="Yes",E187/(1+Sales_Tax_Settings!$B$10),E187))</f>
        <v>0</v>
      </c>
      <c r="Q187" s="4">
        <f>IF(K187&lt;&gt;"Yes",0,P187*Sales_Tax_Settings!$B$8)</f>
        <v>0</v>
      </c>
      <c r="R187" s="4">
        <f>IF(K187&lt;&gt;"Yes",0,P187*Sales_Tax_Settings!$B$9)</f>
        <v>0</v>
      </c>
      <c r="S187" s="4">
        <f t="shared" si="20"/>
        <v>0</v>
      </c>
    </row>
    <row r="188" spans="1:19" x14ac:dyDescent="0.3">
      <c r="A188" t="str">
        <f>IF(Expense_Input!A188="","",Expense_Input!A188)</f>
        <v/>
      </c>
      <c r="B188" t="str">
        <f>IF(Expense_Input!B188="","",Expense_Input!B188)</f>
        <v/>
      </c>
      <c r="C188" t="str">
        <f t="shared" si="14"/>
        <v/>
      </c>
      <c r="D188" t="str">
        <f>IF(Expense_Input!C188="","",Expense_Input!C188)</f>
        <v/>
      </c>
      <c r="E188" s="4" t="str">
        <f>IF(Expense_Input!D188="","",Expense_Input!D188)</f>
        <v/>
      </c>
      <c r="F188" t="str">
        <f>IF(Expense_Input!E188="","",Expense_Input!E188)</f>
        <v/>
      </c>
      <c r="G188" t="str">
        <f>IF(Expense_Input!H188="","",Expense_Input!H188)</f>
        <v/>
      </c>
      <c r="H188" t="str">
        <f>IF(Expense_Input!I188="","Auto",Expense_Input!I188)</f>
        <v>Auto</v>
      </c>
      <c r="I188" t="str">
        <f>IF(F188="","",IFERROR(VLOOKUP(F188,Sales_Tax_Settings!$A$15:$B$27,2,FALSE),"Tax Unknown"))</f>
        <v/>
      </c>
      <c r="J188" t="str">
        <f t="shared" si="15"/>
        <v/>
      </c>
      <c r="K188" t="str">
        <f>IF(AND(Sales_Tax_Settings!$B$5="Yes",G188="Personal Expense",J188="Taxable"),"Yes","No")</f>
        <v>No</v>
      </c>
      <c r="L188" s="4">
        <f t="shared" si="16"/>
        <v>0</v>
      </c>
      <c r="M188" s="4">
        <f t="shared" si="17"/>
        <v>0</v>
      </c>
      <c r="N188" s="4">
        <f t="shared" si="18"/>
        <v>0</v>
      </c>
      <c r="O188" s="4">
        <f t="shared" si="19"/>
        <v>0</v>
      </c>
      <c r="P188" s="4">
        <f>IF(K188&lt;&gt;"Yes",0,IF(Sales_Tax_Settings!$B$6="Yes",E188/(1+Sales_Tax_Settings!$B$10),E188))</f>
        <v>0</v>
      </c>
      <c r="Q188" s="4">
        <f>IF(K188&lt;&gt;"Yes",0,P188*Sales_Tax_Settings!$B$8)</f>
        <v>0</v>
      </c>
      <c r="R188" s="4">
        <f>IF(K188&lt;&gt;"Yes",0,P188*Sales_Tax_Settings!$B$9)</f>
        <v>0</v>
      </c>
      <c r="S188" s="4">
        <f t="shared" si="20"/>
        <v>0</v>
      </c>
    </row>
    <row r="189" spans="1:19" x14ac:dyDescent="0.3">
      <c r="A189" t="str">
        <f>IF(Expense_Input!A189="","",Expense_Input!A189)</f>
        <v/>
      </c>
      <c r="B189" t="str">
        <f>IF(Expense_Input!B189="","",Expense_Input!B189)</f>
        <v/>
      </c>
      <c r="C189" t="str">
        <f t="shared" si="14"/>
        <v/>
      </c>
      <c r="D189" t="str">
        <f>IF(Expense_Input!C189="","",Expense_Input!C189)</f>
        <v/>
      </c>
      <c r="E189" s="4" t="str">
        <f>IF(Expense_Input!D189="","",Expense_Input!D189)</f>
        <v/>
      </c>
      <c r="F189" t="str">
        <f>IF(Expense_Input!E189="","",Expense_Input!E189)</f>
        <v/>
      </c>
      <c r="G189" t="str">
        <f>IF(Expense_Input!H189="","",Expense_Input!H189)</f>
        <v/>
      </c>
      <c r="H189" t="str">
        <f>IF(Expense_Input!I189="","Auto",Expense_Input!I189)</f>
        <v>Auto</v>
      </c>
      <c r="I189" t="str">
        <f>IF(F189="","",IFERROR(VLOOKUP(F189,Sales_Tax_Settings!$A$15:$B$27,2,FALSE),"Tax Unknown"))</f>
        <v/>
      </c>
      <c r="J189" t="str">
        <f t="shared" si="15"/>
        <v/>
      </c>
      <c r="K189" t="str">
        <f>IF(AND(Sales_Tax_Settings!$B$5="Yes",G189="Personal Expense",J189="Taxable"),"Yes","No")</f>
        <v>No</v>
      </c>
      <c r="L189" s="4">
        <f t="shared" si="16"/>
        <v>0</v>
      </c>
      <c r="M189" s="4">
        <f t="shared" si="17"/>
        <v>0</v>
      </c>
      <c r="N189" s="4">
        <f t="shared" si="18"/>
        <v>0</v>
      </c>
      <c r="O189" s="4">
        <f t="shared" si="19"/>
        <v>0</v>
      </c>
      <c r="P189" s="4">
        <f>IF(K189&lt;&gt;"Yes",0,IF(Sales_Tax_Settings!$B$6="Yes",E189/(1+Sales_Tax_Settings!$B$10),E189))</f>
        <v>0</v>
      </c>
      <c r="Q189" s="4">
        <f>IF(K189&lt;&gt;"Yes",0,P189*Sales_Tax_Settings!$B$8)</f>
        <v>0</v>
      </c>
      <c r="R189" s="4">
        <f>IF(K189&lt;&gt;"Yes",0,P189*Sales_Tax_Settings!$B$9)</f>
        <v>0</v>
      </c>
      <c r="S189" s="4">
        <f t="shared" si="20"/>
        <v>0</v>
      </c>
    </row>
    <row r="190" spans="1:19" x14ac:dyDescent="0.3">
      <c r="A190" t="str">
        <f>IF(Expense_Input!A190="","",Expense_Input!A190)</f>
        <v/>
      </c>
      <c r="B190" t="str">
        <f>IF(Expense_Input!B190="","",Expense_Input!B190)</f>
        <v/>
      </c>
      <c r="C190" t="str">
        <f t="shared" si="14"/>
        <v/>
      </c>
      <c r="D190" t="str">
        <f>IF(Expense_Input!C190="","",Expense_Input!C190)</f>
        <v/>
      </c>
      <c r="E190" s="4" t="str">
        <f>IF(Expense_Input!D190="","",Expense_Input!D190)</f>
        <v/>
      </c>
      <c r="F190" t="str">
        <f>IF(Expense_Input!E190="","",Expense_Input!E190)</f>
        <v/>
      </c>
      <c r="G190" t="str">
        <f>IF(Expense_Input!H190="","",Expense_Input!H190)</f>
        <v/>
      </c>
      <c r="H190" t="str">
        <f>IF(Expense_Input!I190="","Auto",Expense_Input!I190)</f>
        <v>Auto</v>
      </c>
      <c r="I190" t="str">
        <f>IF(F190="","",IFERROR(VLOOKUP(F190,Sales_Tax_Settings!$A$15:$B$27,2,FALSE),"Tax Unknown"))</f>
        <v/>
      </c>
      <c r="J190" t="str">
        <f t="shared" si="15"/>
        <v/>
      </c>
      <c r="K190" t="str">
        <f>IF(AND(Sales_Tax_Settings!$B$5="Yes",G190="Personal Expense",J190="Taxable"),"Yes","No")</f>
        <v>No</v>
      </c>
      <c r="L190" s="4">
        <f t="shared" si="16"/>
        <v>0</v>
      </c>
      <c r="M190" s="4">
        <f t="shared" si="17"/>
        <v>0</v>
      </c>
      <c r="N190" s="4">
        <f t="shared" si="18"/>
        <v>0</v>
      </c>
      <c r="O190" s="4">
        <f t="shared" si="19"/>
        <v>0</v>
      </c>
      <c r="P190" s="4">
        <f>IF(K190&lt;&gt;"Yes",0,IF(Sales_Tax_Settings!$B$6="Yes",E190/(1+Sales_Tax_Settings!$B$10),E190))</f>
        <v>0</v>
      </c>
      <c r="Q190" s="4">
        <f>IF(K190&lt;&gt;"Yes",0,P190*Sales_Tax_Settings!$B$8)</f>
        <v>0</v>
      </c>
      <c r="R190" s="4">
        <f>IF(K190&lt;&gt;"Yes",0,P190*Sales_Tax_Settings!$B$9)</f>
        <v>0</v>
      </c>
      <c r="S190" s="4">
        <f t="shared" si="20"/>
        <v>0</v>
      </c>
    </row>
    <row r="191" spans="1:19" x14ac:dyDescent="0.3">
      <c r="A191" t="str">
        <f>IF(Expense_Input!A191="","",Expense_Input!A191)</f>
        <v/>
      </c>
      <c r="B191" t="str">
        <f>IF(Expense_Input!B191="","",Expense_Input!B191)</f>
        <v/>
      </c>
      <c r="C191" t="str">
        <f t="shared" si="14"/>
        <v/>
      </c>
      <c r="D191" t="str">
        <f>IF(Expense_Input!C191="","",Expense_Input!C191)</f>
        <v/>
      </c>
      <c r="E191" s="4" t="str">
        <f>IF(Expense_Input!D191="","",Expense_Input!D191)</f>
        <v/>
      </c>
      <c r="F191" t="str">
        <f>IF(Expense_Input!E191="","",Expense_Input!E191)</f>
        <v/>
      </c>
      <c r="G191" t="str">
        <f>IF(Expense_Input!H191="","",Expense_Input!H191)</f>
        <v/>
      </c>
      <c r="H191" t="str">
        <f>IF(Expense_Input!I191="","Auto",Expense_Input!I191)</f>
        <v>Auto</v>
      </c>
      <c r="I191" t="str">
        <f>IF(F191="","",IFERROR(VLOOKUP(F191,Sales_Tax_Settings!$A$15:$B$27,2,FALSE),"Tax Unknown"))</f>
        <v/>
      </c>
      <c r="J191" t="str">
        <f t="shared" si="15"/>
        <v/>
      </c>
      <c r="K191" t="str">
        <f>IF(AND(Sales_Tax_Settings!$B$5="Yes",G191="Personal Expense",J191="Taxable"),"Yes","No")</f>
        <v>No</v>
      </c>
      <c r="L191" s="4">
        <f t="shared" si="16"/>
        <v>0</v>
      </c>
      <c r="M191" s="4">
        <f t="shared" si="17"/>
        <v>0</v>
      </c>
      <c r="N191" s="4">
        <f t="shared" si="18"/>
        <v>0</v>
      </c>
      <c r="O191" s="4">
        <f t="shared" si="19"/>
        <v>0</v>
      </c>
      <c r="P191" s="4">
        <f>IF(K191&lt;&gt;"Yes",0,IF(Sales_Tax_Settings!$B$6="Yes",E191/(1+Sales_Tax_Settings!$B$10),E191))</f>
        <v>0</v>
      </c>
      <c r="Q191" s="4">
        <f>IF(K191&lt;&gt;"Yes",0,P191*Sales_Tax_Settings!$B$8)</f>
        <v>0</v>
      </c>
      <c r="R191" s="4">
        <f>IF(K191&lt;&gt;"Yes",0,P191*Sales_Tax_Settings!$B$9)</f>
        <v>0</v>
      </c>
      <c r="S191" s="4">
        <f t="shared" si="20"/>
        <v>0</v>
      </c>
    </row>
    <row r="192" spans="1:19" x14ac:dyDescent="0.3">
      <c r="A192" t="str">
        <f>IF(Expense_Input!A192="","",Expense_Input!A192)</f>
        <v/>
      </c>
      <c r="B192" t="str">
        <f>IF(Expense_Input!B192="","",Expense_Input!B192)</f>
        <v/>
      </c>
      <c r="C192" t="str">
        <f t="shared" si="14"/>
        <v/>
      </c>
      <c r="D192" t="str">
        <f>IF(Expense_Input!C192="","",Expense_Input!C192)</f>
        <v/>
      </c>
      <c r="E192" s="4" t="str">
        <f>IF(Expense_Input!D192="","",Expense_Input!D192)</f>
        <v/>
      </c>
      <c r="F192" t="str">
        <f>IF(Expense_Input!E192="","",Expense_Input!E192)</f>
        <v/>
      </c>
      <c r="G192" t="str">
        <f>IF(Expense_Input!H192="","",Expense_Input!H192)</f>
        <v/>
      </c>
      <c r="H192" t="str">
        <f>IF(Expense_Input!I192="","Auto",Expense_Input!I192)</f>
        <v>Auto</v>
      </c>
      <c r="I192" t="str">
        <f>IF(F192="","",IFERROR(VLOOKUP(F192,Sales_Tax_Settings!$A$15:$B$27,2,FALSE),"Tax Unknown"))</f>
        <v/>
      </c>
      <c r="J192" t="str">
        <f t="shared" si="15"/>
        <v/>
      </c>
      <c r="K192" t="str">
        <f>IF(AND(Sales_Tax_Settings!$B$5="Yes",G192="Personal Expense",J192="Taxable"),"Yes","No")</f>
        <v>No</v>
      </c>
      <c r="L192" s="4">
        <f t="shared" si="16"/>
        <v>0</v>
      </c>
      <c r="M192" s="4">
        <f t="shared" si="17"/>
        <v>0</v>
      </c>
      <c r="N192" s="4">
        <f t="shared" si="18"/>
        <v>0</v>
      </c>
      <c r="O192" s="4">
        <f t="shared" si="19"/>
        <v>0</v>
      </c>
      <c r="P192" s="4">
        <f>IF(K192&lt;&gt;"Yes",0,IF(Sales_Tax_Settings!$B$6="Yes",E192/(1+Sales_Tax_Settings!$B$10),E192))</f>
        <v>0</v>
      </c>
      <c r="Q192" s="4">
        <f>IF(K192&lt;&gt;"Yes",0,P192*Sales_Tax_Settings!$B$8)</f>
        <v>0</v>
      </c>
      <c r="R192" s="4">
        <f>IF(K192&lt;&gt;"Yes",0,P192*Sales_Tax_Settings!$B$9)</f>
        <v>0</v>
      </c>
      <c r="S192" s="4">
        <f t="shared" si="20"/>
        <v>0</v>
      </c>
    </row>
    <row r="193" spans="1:19" x14ac:dyDescent="0.3">
      <c r="A193" t="str">
        <f>IF(Expense_Input!A193="","",Expense_Input!A193)</f>
        <v/>
      </c>
      <c r="B193" t="str">
        <f>IF(Expense_Input!B193="","",Expense_Input!B193)</f>
        <v/>
      </c>
      <c r="C193" t="str">
        <f t="shared" si="14"/>
        <v/>
      </c>
      <c r="D193" t="str">
        <f>IF(Expense_Input!C193="","",Expense_Input!C193)</f>
        <v/>
      </c>
      <c r="E193" s="4" t="str">
        <f>IF(Expense_Input!D193="","",Expense_Input!D193)</f>
        <v/>
      </c>
      <c r="F193" t="str">
        <f>IF(Expense_Input!E193="","",Expense_Input!E193)</f>
        <v/>
      </c>
      <c r="G193" t="str">
        <f>IF(Expense_Input!H193="","",Expense_Input!H193)</f>
        <v/>
      </c>
      <c r="H193" t="str">
        <f>IF(Expense_Input!I193="","Auto",Expense_Input!I193)</f>
        <v>Auto</v>
      </c>
      <c r="I193" t="str">
        <f>IF(F193="","",IFERROR(VLOOKUP(F193,Sales_Tax_Settings!$A$15:$B$27,2,FALSE),"Tax Unknown"))</f>
        <v/>
      </c>
      <c r="J193" t="str">
        <f t="shared" si="15"/>
        <v/>
      </c>
      <c r="K193" t="str">
        <f>IF(AND(Sales_Tax_Settings!$B$5="Yes",G193="Personal Expense",J193="Taxable"),"Yes","No")</f>
        <v>No</v>
      </c>
      <c r="L193" s="4">
        <f t="shared" si="16"/>
        <v>0</v>
      </c>
      <c r="M193" s="4">
        <f t="shared" si="17"/>
        <v>0</v>
      </c>
      <c r="N193" s="4">
        <f t="shared" si="18"/>
        <v>0</v>
      </c>
      <c r="O193" s="4">
        <f t="shared" si="19"/>
        <v>0</v>
      </c>
      <c r="P193" s="4">
        <f>IF(K193&lt;&gt;"Yes",0,IF(Sales_Tax_Settings!$B$6="Yes",E193/(1+Sales_Tax_Settings!$B$10),E193))</f>
        <v>0</v>
      </c>
      <c r="Q193" s="4">
        <f>IF(K193&lt;&gt;"Yes",0,P193*Sales_Tax_Settings!$B$8)</f>
        <v>0</v>
      </c>
      <c r="R193" s="4">
        <f>IF(K193&lt;&gt;"Yes",0,P193*Sales_Tax_Settings!$B$9)</f>
        <v>0</v>
      </c>
      <c r="S193" s="4">
        <f t="shared" si="20"/>
        <v>0</v>
      </c>
    </row>
    <row r="194" spans="1:19" x14ac:dyDescent="0.3">
      <c r="A194" t="str">
        <f>IF(Expense_Input!A194="","",Expense_Input!A194)</f>
        <v/>
      </c>
      <c r="B194" t="str">
        <f>IF(Expense_Input!B194="","",Expense_Input!B194)</f>
        <v/>
      </c>
      <c r="C194" t="str">
        <f t="shared" si="14"/>
        <v/>
      </c>
      <c r="D194" t="str">
        <f>IF(Expense_Input!C194="","",Expense_Input!C194)</f>
        <v/>
      </c>
      <c r="E194" s="4" t="str">
        <f>IF(Expense_Input!D194="","",Expense_Input!D194)</f>
        <v/>
      </c>
      <c r="F194" t="str">
        <f>IF(Expense_Input!E194="","",Expense_Input!E194)</f>
        <v/>
      </c>
      <c r="G194" t="str">
        <f>IF(Expense_Input!H194="","",Expense_Input!H194)</f>
        <v/>
      </c>
      <c r="H194" t="str">
        <f>IF(Expense_Input!I194="","Auto",Expense_Input!I194)</f>
        <v>Auto</v>
      </c>
      <c r="I194" t="str">
        <f>IF(F194="","",IFERROR(VLOOKUP(F194,Sales_Tax_Settings!$A$15:$B$27,2,FALSE),"Tax Unknown"))</f>
        <v/>
      </c>
      <c r="J194" t="str">
        <f t="shared" si="15"/>
        <v/>
      </c>
      <c r="K194" t="str">
        <f>IF(AND(Sales_Tax_Settings!$B$5="Yes",G194="Personal Expense",J194="Taxable"),"Yes","No")</f>
        <v>No</v>
      </c>
      <c r="L194" s="4">
        <f t="shared" si="16"/>
        <v>0</v>
      </c>
      <c r="M194" s="4">
        <f t="shared" si="17"/>
        <v>0</v>
      </c>
      <c r="N194" s="4">
        <f t="shared" si="18"/>
        <v>0</v>
      </c>
      <c r="O194" s="4">
        <f t="shared" si="19"/>
        <v>0</v>
      </c>
      <c r="P194" s="4">
        <f>IF(K194&lt;&gt;"Yes",0,IF(Sales_Tax_Settings!$B$6="Yes",E194/(1+Sales_Tax_Settings!$B$10),E194))</f>
        <v>0</v>
      </c>
      <c r="Q194" s="4">
        <f>IF(K194&lt;&gt;"Yes",0,P194*Sales_Tax_Settings!$B$8)</f>
        <v>0</v>
      </c>
      <c r="R194" s="4">
        <f>IF(K194&lt;&gt;"Yes",0,P194*Sales_Tax_Settings!$B$9)</f>
        <v>0</v>
      </c>
      <c r="S194" s="4">
        <f t="shared" si="20"/>
        <v>0</v>
      </c>
    </row>
    <row r="195" spans="1:19" x14ac:dyDescent="0.3">
      <c r="A195" t="str">
        <f>IF(Expense_Input!A195="","",Expense_Input!A195)</f>
        <v/>
      </c>
      <c r="B195" t="str">
        <f>IF(Expense_Input!B195="","",Expense_Input!B195)</f>
        <v/>
      </c>
      <c r="C195" t="str">
        <f t="shared" si="14"/>
        <v/>
      </c>
      <c r="D195" t="str">
        <f>IF(Expense_Input!C195="","",Expense_Input!C195)</f>
        <v/>
      </c>
      <c r="E195" s="4" t="str">
        <f>IF(Expense_Input!D195="","",Expense_Input!D195)</f>
        <v/>
      </c>
      <c r="F195" t="str">
        <f>IF(Expense_Input!E195="","",Expense_Input!E195)</f>
        <v/>
      </c>
      <c r="G195" t="str">
        <f>IF(Expense_Input!H195="","",Expense_Input!H195)</f>
        <v/>
      </c>
      <c r="H195" t="str">
        <f>IF(Expense_Input!I195="","Auto",Expense_Input!I195)</f>
        <v>Auto</v>
      </c>
      <c r="I195" t="str">
        <f>IF(F195="","",IFERROR(VLOOKUP(F195,Sales_Tax_Settings!$A$15:$B$27,2,FALSE),"Tax Unknown"))</f>
        <v/>
      </c>
      <c r="J195" t="str">
        <f t="shared" si="15"/>
        <v/>
      </c>
      <c r="K195" t="str">
        <f>IF(AND(Sales_Tax_Settings!$B$5="Yes",G195="Personal Expense",J195="Taxable"),"Yes","No")</f>
        <v>No</v>
      </c>
      <c r="L195" s="4">
        <f t="shared" si="16"/>
        <v>0</v>
      </c>
      <c r="M195" s="4">
        <f t="shared" si="17"/>
        <v>0</v>
      </c>
      <c r="N195" s="4">
        <f t="shared" si="18"/>
        <v>0</v>
      </c>
      <c r="O195" s="4">
        <f t="shared" si="19"/>
        <v>0</v>
      </c>
      <c r="P195" s="4">
        <f>IF(K195&lt;&gt;"Yes",0,IF(Sales_Tax_Settings!$B$6="Yes",E195/(1+Sales_Tax_Settings!$B$10),E195))</f>
        <v>0</v>
      </c>
      <c r="Q195" s="4">
        <f>IF(K195&lt;&gt;"Yes",0,P195*Sales_Tax_Settings!$B$8)</f>
        <v>0</v>
      </c>
      <c r="R195" s="4">
        <f>IF(K195&lt;&gt;"Yes",0,P195*Sales_Tax_Settings!$B$9)</f>
        <v>0</v>
      </c>
      <c r="S195" s="4">
        <f t="shared" si="20"/>
        <v>0</v>
      </c>
    </row>
    <row r="196" spans="1:19" x14ac:dyDescent="0.3">
      <c r="A196" t="str">
        <f>IF(Expense_Input!A196="","",Expense_Input!A196)</f>
        <v/>
      </c>
      <c r="B196" t="str">
        <f>IF(Expense_Input!B196="","",Expense_Input!B196)</f>
        <v/>
      </c>
      <c r="C196" t="str">
        <f t="shared" ref="C196:C259" si="21">IF(B196="","",TEXT(B196,"yyyy-mm"))</f>
        <v/>
      </c>
      <c r="D196" t="str">
        <f>IF(Expense_Input!C196="","",Expense_Input!C196)</f>
        <v/>
      </c>
      <c r="E196" s="4" t="str">
        <f>IF(Expense_Input!D196="","",Expense_Input!D196)</f>
        <v/>
      </c>
      <c r="F196" t="str">
        <f>IF(Expense_Input!E196="","",Expense_Input!E196)</f>
        <v/>
      </c>
      <c r="G196" t="str">
        <f>IF(Expense_Input!H196="","",Expense_Input!H196)</f>
        <v/>
      </c>
      <c r="H196" t="str">
        <f>IF(Expense_Input!I196="","Auto",Expense_Input!I196)</f>
        <v>Auto</v>
      </c>
      <c r="I196" t="str">
        <f>IF(F196="","",IFERROR(VLOOKUP(F196,Sales_Tax_Settings!$A$15:$B$27,2,FALSE),"Tax Unknown"))</f>
        <v/>
      </c>
      <c r="J196" t="str">
        <f t="shared" ref="J196:J259" si="22">IF(D196="","",IF(H196="Auto",I196,H196))</f>
        <v/>
      </c>
      <c r="K196" t="str">
        <f>IF(AND(Sales_Tax_Settings!$B$5="Yes",G196="Personal Expense",J196="Taxable"),"Yes","No")</f>
        <v>No</v>
      </c>
      <c r="L196" s="4">
        <f t="shared" ref="L196:L259" si="23">IF(K196="Yes",E196,0)</f>
        <v>0</v>
      </c>
      <c r="M196" s="4">
        <f t="shared" ref="M196:M259" si="24">IF(AND(G196="Personal Expense",J196="Zero-rated"),E196,0)</f>
        <v>0</v>
      </c>
      <c r="N196" s="4">
        <f t="shared" ref="N196:N259" si="25">IF(AND(G196="Personal Expense",J196="Exempt"),E196,0)</f>
        <v>0</v>
      </c>
      <c r="O196" s="4">
        <f t="shared" ref="O196:O259" si="26">IF(AND(G196="Personal Expense",OR(J196="Tax Unknown",J196="Not Applicable")),E196,0)</f>
        <v>0</v>
      </c>
      <c r="P196" s="4">
        <f>IF(K196&lt;&gt;"Yes",0,IF(Sales_Tax_Settings!$B$6="Yes",E196/(1+Sales_Tax_Settings!$B$10),E196))</f>
        <v>0</v>
      </c>
      <c r="Q196" s="4">
        <f>IF(K196&lt;&gt;"Yes",0,P196*Sales_Tax_Settings!$B$8)</f>
        <v>0</v>
      </c>
      <c r="R196" s="4">
        <f>IF(K196&lt;&gt;"Yes",0,P196*Sales_Tax_Settings!$B$9)</f>
        <v>0</v>
      </c>
      <c r="S196" s="4">
        <f t="shared" ref="S196:S259" si="27">Q196+R196</f>
        <v>0</v>
      </c>
    </row>
    <row r="197" spans="1:19" x14ac:dyDescent="0.3">
      <c r="A197" t="str">
        <f>IF(Expense_Input!A197="","",Expense_Input!A197)</f>
        <v/>
      </c>
      <c r="B197" t="str">
        <f>IF(Expense_Input!B197="","",Expense_Input!B197)</f>
        <v/>
      </c>
      <c r="C197" t="str">
        <f t="shared" si="21"/>
        <v/>
      </c>
      <c r="D197" t="str">
        <f>IF(Expense_Input!C197="","",Expense_Input!C197)</f>
        <v/>
      </c>
      <c r="E197" s="4" t="str">
        <f>IF(Expense_Input!D197="","",Expense_Input!D197)</f>
        <v/>
      </c>
      <c r="F197" t="str">
        <f>IF(Expense_Input!E197="","",Expense_Input!E197)</f>
        <v/>
      </c>
      <c r="G197" t="str">
        <f>IF(Expense_Input!H197="","",Expense_Input!H197)</f>
        <v/>
      </c>
      <c r="H197" t="str">
        <f>IF(Expense_Input!I197="","Auto",Expense_Input!I197)</f>
        <v>Auto</v>
      </c>
      <c r="I197" t="str">
        <f>IF(F197="","",IFERROR(VLOOKUP(F197,Sales_Tax_Settings!$A$15:$B$27,2,FALSE),"Tax Unknown"))</f>
        <v/>
      </c>
      <c r="J197" t="str">
        <f t="shared" si="22"/>
        <v/>
      </c>
      <c r="K197" t="str">
        <f>IF(AND(Sales_Tax_Settings!$B$5="Yes",G197="Personal Expense",J197="Taxable"),"Yes","No")</f>
        <v>No</v>
      </c>
      <c r="L197" s="4">
        <f t="shared" si="23"/>
        <v>0</v>
      </c>
      <c r="M197" s="4">
        <f t="shared" si="24"/>
        <v>0</v>
      </c>
      <c r="N197" s="4">
        <f t="shared" si="25"/>
        <v>0</v>
      </c>
      <c r="O197" s="4">
        <f t="shared" si="26"/>
        <v>0</v>
      </c>
      <c r="P197" s="4">
        <f>IF(K197&lt;&gt;"Yes",0,IF(Sales_Tax_Settings!$B$6="Yes",E197/(1+Sales_Tax_Settings!$B$10),E197))</f>
        <v>0</v>
      </c>
      <c r="Q197" s="4">
        <f>IF(K197&lt;&gt;"Yes",0,P197*Sales_Tax_Settings!$B$8)</f>
        <v>0</v>
      </c>
      <c r="R197" s="4">
        <f>IF(K197&lt;&gt;"Yes",0,P197*Sales_Tax_Settings!$B$9)</f>
        <v>0</v>
      </c>
      <c r="S197" s="4">
        <f t="shared" si="27"/>
        <v>0</v>
      </c>
    </row>
    <row r="198" spans="1:19" x14ac:dyDescent="0.3">
      <c r="A198" t="str">
        <f>IF(Expense_Input!A198="","",Expense_Input!A198)</f>
        <v/>
      </c>
      <c r="B198" t="str">
        <f>IF(Expense_Input!B198="","",Expense_Input!B198)</f>
        <v/>
      </c>
      <c r="C198" t="str">
        <f t="shared" si="21"/>
        <v/>
      </c>
      <c r="D198" t="str">
        <f>IF(Expense_Input!C198="","",Expense_Input!C198)</f>
        <v/>
      </c>
      <c r="E198" s="4" t="str">
        <f>IF(Expense_Input!D198="","",Expense_Input!D198)</f>
        <v/>
      </c>
      <c r="F198" t="str">
        <f>IF(Expense_Input!E198="","",Expense_Input!E198)</f>
        <v/>
      </c>
      <c r="G198" t="str">
        <f>IF(Expense_Input!H198="","",Expense_Input!H198)</f>
        <v/>
      </c>
      <c r="H198" t="str">
        <f>IF(Expense_Input!I198="","Auto",Expense_Input!I198)</f>
        <v>Auto</v>
      </c>
      <c r="I198" t="str">
        <f>IF(F198="","",IFERROR(VLOOKUP(F198,Sales_Tax_Settings!$A$15:$B$27,2,FALSE),"Tax Unknown"))</f>
        <v/>
      </c>
      <c r="J198" t="str">
        <f t="shared" si="22"/>
        <v/>
      </c>
      <c r="K198" t="str">
        <f>IF(AND(Sales_Tax_Settings!$B$5="Yes",G198="Personal Expense",J198="Taxable"),"Yes","No")</f>
        <v>No</v>
      </c>
      <c r="L198" s="4">
        <f t="shared" si="23"/>
        <v>0</v>
      </c>
      <c r="M198" s="4">
        <f t="shared" si="24"/>
        <v>0</v>
      </c>
      <c r="N198" s="4">
        <f t="shared" si="25"/>
        <v>0</v>
      </c>
      <c r="O198" s="4">
        <f t="shared" si="26"/>
        <v>0</v>
      </c>
      <c r="P198" s="4">
        <f>IF(K198&lt;&gt;"Yes",0,IF(Sales_Tax_Settings!$B$6="Yes",E198/(1+Sales_Tax_Settings!$B$10),E198))</f>
        <v>0</v>
      </c>
      <c r="Q198" s="4">
        <f>IF(K198&lt;&gt;"Yes",0,P198*Sales_Tax_Settings!$B$8)</f>
        <v>0</v>
      </c>
      <c r="R198" s="4">
        <f>IF(K198&lt;&gt;"Yes",0,P198*Sales_Tax_Settings!$B$9)</f>
        <v>0</v>
      </c>
      <c r="S198" s="4">
        <f t="shared" si="27"/>
        <v>0</v>
      </c>
    </row>
    <row r="199" spans="1:19" x14ac:dyDescent="0.3">
      <c r="A199" t="str">
        <f>IF(Expense_Input!A199="","",Expense_Input!A199)</f>
        <v/>
      </c>
      <c r="B199" t="str">
        <f>IF(Expense_Input!B199="","",Expense_Input!B199)</f>
        <v/>
      </c>
      <c r="C199" t="str">
        <f t="shared" si="21"/>
        <v/>
      </c>
      <c r="D199" t="str">
        <f>IF(Expense_Input!C199="","",Expense_Input!C199)</f>
        <v/>
      </c>
      <c r="E199" s="4" t="str">
        <f>IF(Expense_Input!D199="","",Expense_Input!D199)</f>
        <v/>
      </c>
      <c r="F199" t="str">
        <f>IF(Expense_Input!E199="","",Expense_Input!E199)</f>
        <v/>
      </c>
      <c r="G199" t="str">
        <f>IF(Expense_Input!H199="","",Expense_Input!H199)</f>
        <v/>
      </c>
      <c r="H199" t="str">
        <f>IF(Expense_Input!I199="","Auto",Expense_Input!I199)</f>
        <v>Auto</v>
      </c>
      <c r="I199" t="str">
        <f>IF(F199="","",IFERROR(VLOOKUP(F199,Sales_Tax_Settings!$A$15:$B$27,2,FALSE),"Tax Unknown"))</f>
        <v/>
      </c>
      <c r="J199" t="str">
        <f t="shared" si="22"/>
        <v/>
      </c>
      <c r="K199" t="str">
        <f>IF(AND(Sales_Tax_Settings!$B$5="Yes",G199="Personal Expense",J199="Taxable"),"Yes","No")</f>
        <v>No</v>
      </c>
      <c r="L199" s="4">
        <f t="shared" si="23"/>
        <v>0</v>
      </c>
      <c r="M199" s="4">
        <f t="shared" si="24"/>
        <v>0</v>
      </c>
      <c r="N199" s="4">
        <f t="shared" si="25"/>
        <v>0</v>
      </c>
      <c r="O199" s="4">
        <f t="shared" si="26"/>
        <v>0</v>
      </c>
      <c r="P199" s="4">
        <f>IF(K199&lt;&gt;"Yes",0,IF(Sales_Tax_Settings!$B$6="Yes",E199/(1+Sales_Tax_Settings!$B$10),E199))</f>
        <v>0</v>
      </c>
      <c r="Q199" s="4">
        <f>IF(K199&lt;&gt;"Yes",0,P199*Sales_Tax_Settings!$B$8)</f>
        <v>0</v>
      </c>
      <c r="R199" s="4">
        <f>IF(K199&lt;&gt;"Yes",0,P199*Sales_Tax_Settings!$B$9)</f>
        <v>0</v>
      </c>
      <c r="S199" s="4">
        <f t="shared" si="27"/>
        <v>0</v>
      </c>
    </row>
    <row r="200" spans="1:19" x14ac:dyDescent="0.3">
      <c r="A200" t="str">
        <f>IF(Expense_Input!A200="","",Expense_Input!A200)</f>
        <v/>
      </c>
      <c r="B200" t="str">
        <f>IF(Expense_Input!B200="","",Expense_Input!B200)</f>
        <v/>
      </c>
      <c r="C200" t="str">
        <f t="shared" si="21"/>
        <v/>
      </c>
      <c r="D200" t="str">
        <f>IF(Expense_Input!C200="","",Expense_Input!C200)</f>
        <v/>
      </c>
      <c r="E200" s="4" t="str">
        <f>IF(Expense_Input!D200="","",Expense_Input!D200)</f>
        <v/>
      </c>
      <c r="F200" t="str">
        <f>IF(Expense_Input!E200="","",Expense_Input!E200)</f>
        <v/>
      </c>
      <c r="G200" t="str">
        <f>IF(Expense_Input!H200="","",Expense_Input!H200)</f>
        <v/>
      </c>
      <c r="H200" t="str">
        <f>IF(Expense_Input!I200="","Auto",Expense_Input!I200)</f>
        <v>Auto</v>
      </c>
      <c r="I200" t="str">
        <f>IF(F200="","",IFERROR(VLOOKUP(F200,Sales_Tax_Settings!$A$15:$B$27,2,FALSE),"Tax Unknown"))</f>
        <v/>
      </c>
      <c r="J200" t="str">
        <f t="shared" si="22"/>
        <v/>
      </c>
      <c r="K200" t="str">
        <f>IF(AND(Sales_Tax_Settings!$B$5="Yes",G200="Personal Expense",J200="Taxable"),"Yes","No")</f>
        <v>No</v>
      </c>
      <c r="L200" s="4">
        <f t="shared" si="23"/>
        <v>0</v>
      </c>
      <c r="M200" s="4">
        <f t="shared" si="24"/>
        <v>0</v>
      </c>
      <c r="N200" s="4">
        <f t="shared" si="25"/>
        <v>0</v>
      </c>
      <c r="O200" s="4">
        <f t="shared" si="26"/>
        <v>0</v>
      </c>
      <c r="P200" s="4">
        <f>IF(K200&lt;&gt;"Yes",0,IF(Sales_Tax_Settings!$B$6="Yes",E200/(1+Sales_Tax_Settings!$B$10),E200))</f>
        <v>0</v>
      </c>
      <c r="Q200" s="4">
        <f>IF(K200&lt;&gt;"Yes",0,P200*Sales_Tax_Settings!$B$8)</f>
        <v>0</v>
      </c>
      <c r="R200" s="4">
        <f>IF(K200&lt;&gt;"Yes",0,P200*Sales_Tax_Settings!$B$9)</f>
        <v>0</v>
      </c>
      <c r="S200" s="4">
        <f t="shared" si="27"/>
        <v>0</v>
      </c>
    </row>
    <row r="201" spans="1:19" x14ac:dyDescent="0.3">
      <c r="A201" t="str">
        <f>IF(Expense_Input!A201="","",Expense_Input!A201)</f>
        <v/>
      </c>
      <c r="B201" t="str">
        <f>IF(Expense_Input!B201="","",Expense_Input!B201)</f>
        <v/>
      </c>
      <c r="C201" t="str">
        <f t="shared" si="21"/>
        <v/>
      </c>
      <c r="D201" t="str">
        <f>IF(Expense_Input!C201="","",Expense_Input!C201)</f>
        <v/>
      </c>
      <c r="E201" s="4" t="str">
        <f>IF(Expense_Input!D201="","",Expense_Input!D201)</f>
        <v/>
      </c>
      <c r="F201" t="str">
        <f>IF(Expense_Input!E201="","",Expense_Input!E201)</f>
        <v/>
      </c>
      <c r="G201" t="str">
        <f>IF(Expense_Input!H201="","",Expense_Input!H201)</f>
        <v/>
      </c>
      <c r="H201" t="str">
        <f>IF(Expense_Input!I201="","Auto",Expense_Input!I201)</f>
        <v>Auto</v>
      </c>
      <c r="I201" t="str">
        <f>IF(F201="","",IFERROR(VLOOKUP(F201,Sales_Tax_Settings!$A$15:$B$27,2,FALSE),"Tax Unknown"))</f>
        <v/>
      </c>
      <c r="J201" t="str">
        <f t="shared" si="22"/>
        <v/>
      </c>
      <c r="K201" t="str">
        <f>IF(AND(Sales_Tax_Settings!$B$5="Yes",G201="Personal Expense",J201="Taxable"),"Yes","No")</f>
        <v>No</v>
      </c>
      <c r="L201" s="4">
        <f t="shared" si="23"/>
        <v>0</v>
      </c>
      <c r="M201" s="4">
        <f t="shared" si="24"/>
        <v>0</v>
      </c>
      <c r="N201" s="4">
        <f t="shared" si="25"/>
        <v>0</v>
      </c>
      <c r="O201" s="4">
        <f t="shared" si="26"/>
        <v>0</v>
      </c>
      <c r="P201" s="4">
        <f>IF(K201&lt;&gt;"Yes",0,IF(Sales_Tax_Settings!$B$6="Yes",E201/(1+Sales_Tax_Settings!$B$10),E201))</f>
        <v>0</v>
      </c>
      <c r="Q201" s="4">
        <f>IF(K201&lt;&gt;"Yes",0,P201*Sales_Tax_Settings!$B$8)</f>
        <v>0</v>
      </c>
      <c r="R201" s="4">
        <f>IF(K201&lt;&gt;"Yes",0,P201*Sales_Tax_Settings!$B$9)</f>
        <v>0</v>
      </c>
      <c r="S201" s="4">
        <f t="shared" si="27"/>
        <v>0</v>
      </c>
    </row>
    <row r="202" spans="1:19" x14ac:dyDescent="0.3">
      <c r="A202" t="str">
        <f>IF(Expense_Input!A202="","",Expense_Input!A202)</f>
        <v/>
      </c>
      <c r="B202" t="str">
        <f>IF(Expense_Input!B202="","",Expense_Input!B202)</f>
        <v/>
      </c>
      <c r="C202" t="str">
        <f t="shared" si="21"/>
        <v/>
      </c>
      <c r="D202" t="str">
        <f>IF(Expense_Input!C202="","",Expense_Input!C202)</f>
        <v/>
      </c>
      <c r="E202" s="4" t="str">
        <f>IF(Expense_Input!D202="","",Expense_Input!D202)</f>
        <v/>
      </c>
      <c r="F202" t="str">
        <f>IF(Expense_Input!E202="","",Expense_Input!E202)</f>
        <v/>
      </c>
      <c r="G202" t="str">
        <f>IF(Expense_Input!H202="","",Expense_Input!H202)</f>
        <v/>
      </c>
      <c r="H202" t="str">
        <f>IF(Expense_Input!I202="","Auto",Expense_Input!I202)</f>
        <v>Auto</v>
      </c>
      <c r="I202" t="str">
        <f>IF(F202="","",IFERROR(VLOOKUP(F202,Sales_Tax_Settings!$A$15:$B$27,2,FALSE),"Tax Unknown"))</f>
        <v/>
      </c>
      <c r="J202" t="str">
        <f t="shared" si="22"/>
        <v/>
      </c>
      <c r="K202" t="str">
        <f>IF(AND(Sales_Tax_Settings!$B$5="Yes",G202="Personal Expense",J202="Taxable"),"Yes","No")</f>
        <v>No</v>
      </c>
      <c r="L202" s="4">
        <f t="shared" si="23"/>
        <v>0</v>
      </c>
      <c r="M202" s="4">
        <f t="shared" si="24"/>
        <v>0</v>
      </c>
      <c r="N202" s="4">
        <f t="shared" si="25"/>
        <v>0</v>
      </c>
      <c r="O202" s="4">
        <f t="shared" si="26"/>
        <v>0</v>
      </c>
      <c r="P202" s="4">
        <f>IF(K202&lt;&gt;"Yes",0,IF(Sales_Tax_Settings!$B$6="Yes",E202/(1+Sales_Tax_Settings!$B$10),E202))</f>
        <v>0</v>
      </c>
      <c r="Q202" s="4">
        <f>IF(K202&lt;&gt;"Yes",0,P202*Sales_Tax_Settings!$B$8)</f>
        <v>0</v>
      </c>
      <c r="R202" s="4">
        <f>IF(K202&lt;&gt;"Yes",0,P202*Sales_Tax_Settings!$B$9)</f>
        <v>0</v>
      </c>
      <c r="S202" s="4">
        <f t="shared" si="27"/>
        <v>0</v>
      </c>
    </row>
    <row r="203" spans="1:19" x14ac:dyDescent="0.3">
      <c r="A203" t="str">
        <f>IF(Expense_Input!A203="","",Expense_Input!A203)</f>
        <v/>
      </c>
      <c r="B203" t="str">
        <f>IF(Expense_Input!B203="","",Expense_Input!B203)</f>
        <v/>
      </c>
      <c r="C203" t="str">
        <f t="shared" si="21"/>
        <v/>
      </c>
      <c r="D203" t="str">
        <f>IF(Expense_Input!C203="","",Expense_Input!C203)</f>
        <v/>
      </c>
      <c r="E203" s="4" t="str">
        <f>IF(Expense_Input!D203="","",Expense_Input!D203)</f>
        <v/>
      </c>
      <c r="F203" t="str">
        <f>IF(Expense_Input!E203="","",Expense_Input!E203)</f>
        <v/>
      </c>
      <c r="G203" t="str">
        <f>IF(Expense_Input!H203="","",Expense_Input!H203)</f>
        <v/>
      </c>
      <c r="H203" t="str">
        <f>IF(Expense_Input!I203="","Auto",Expense_Input!I203)</f>
        <v>Auto</v>
      </c>
      <c r="I203" t="str">
        <f>IF(F203="","",IFERROR(VLOOKUP(F203,Sales_Tax_Settings!$A$15:$B$27,2,FALSE),"Tax Unknown"))</f>
        <v/>
      </c>
      <c r="J203" t="str">
        <f t="shared" si="22"/>
        <v/>
      </c>
      <c r="K203" t="str">
        <f>IF(AND(Sales_Tax_Settings!$B$5="Yes",G203="Personal Expense",J203="Taxable"),"Yes","No")</f>
        <v>No</v>
      </c>
      <c r="L203" s="4">
        <f t="shared" si="23"/>
        <v>0</v>
      </c>
      <c r="M203" s="4">
        <f t="shared" si="24"/>
        <v>0</v>
      </c>
      <c r="N203" s="4">
        <f t="shared" si="25"/>
        <v>0</v>
      </c>
      <c r="O203" s="4">
        <f t="shared" si="26"/>
        <v>0</v>
      </c>
      <c r="P203" s="4">
        <f>IF(K203&lt;&gt;"Yes",0,IF(Sales_Tax_Settings!$B$6="Yes",E203/(1+Sales_Tax_Settings!$B$10),E203))</f>
        <v>0</v>
      </c>
      <c r="Q203" s="4">
        <f>IF(K203&lt;&gt;"Yes",0,P203*Sales_Tax_Settings!$B$8)</f>
        <v>0</v>
      </c>
      <c r="R203" s="4">
        <f>IF(K203&lt;&gt;"Yes",0,P203*Sales_Tax_Settings!$B$9)</f>
        <v>0</v>
      </c>
      <c r="S203" s="4">
        <f t="shared" si="27"/>
        <v>0</v>
      </c>
    </row>
    <row r="204" spans="1:19" x14ac:dyDescent="0.3">
      <c r="A204" t="str">
        <f>IF(Expense_Input!A204="","",Expense_Input!A204)</f>
        <v/>
      </c>
      <c r="B204" t="str">
        <f>IF(Expense_Input!B204="","",Expense_Input!B204)</f>
        <v/>
      </c>
      <c r="C204" t="str">
        <f t="shared" si="21"/>
        <v/>
      </c>
      <c r="D204" t="str">
        <f>IF(Expense_Input!C204="","",Expense_Input!C204)</f>
        <v/>
      </c>
      <c r="E204" s="4" t="str">
        <f>IF(Expense_Input!D204="","",Expense_Input!D204)</f>
        <v/>
      </c>
      <c r="F204" t="str">
        <f>IF(Expense_Input!E204="","",Expense_Input!E204)</f>
        <v/>
      </c>
      <c r="G204" t="str">
        <f>IF(Expense_Input!H204="","",Expense_Input!H204)</f>
        <v/>
      </c>
      <c r="H204" t="str">
        <f>IF(Expense_Input!I204="","Auto",Expense_Input!I204)</f>
        <v>Auto</v>
      </c>
      <c r="I204" t="str">
        <f>IF(F204="","",IFERROR(VLOOKUP(F204,Sales_Tax_Settings!$A$15:$B$27,2,FALSE),"Tax Unknown"))</f>
        <v/>
      </c>
      <c r="J204" t="str">
        <f t="shared" si="22"/>
        <v/>
      </c>
      <c r="K204" t="str">
        <f>IF(AND(Sales_Tax_Settings!$B$5="Yes",G204="Personal Expense",J204="Taxable"),"Yes","No")</f>
        <v>No</v>
      </c>
      <c r="L204" s="4">
        <f t="shared" si="23"/>
        <v>0</v>
      </c>
      <c r="M204" s="4">
        <f t="shared" si="24"/>
        <v>0</v>
      </c>
      <c r="N204" s="4">
        <f t="shared" si="25"/>
        <v>0</v>
      </c>
      <c r="O204" s="4">
        <f t="shared" si="26"/>
        <v>0</v>
      </c>
      <c r="P204" s="4">
        <f>IF(K204&lt;&gt;"Yes",0,IF(Sales_Tax_Settings!$B$6="Yes",E204/(1+Sales_Tax_Settings!$B$10),E204))</f>
        <v>0</v>
      </c>
      <c r="Q204" s="4">
        <f>IF(K204&lt;&gt;"Yes",0,P204*Sales_Tax_Settings!$B$8)</f>
        <v>0</v>
      </c>
      <c r="R204" s="4">
        <f>IF(K204&lt;&gt;"Yes",0,P204*Sales_Tax_Settings!$B$9)</f>
        <v>0</v>
      </c>
      <c r="S204" s="4">
        <f t="shared" si="27"/>
        <v>0</v>
      </c>
    </row>
    <row r="205" spans="1:19" x14ac:dyDescent="0.3">
      <c r="A205" t="str">
        <f>IF(Expense_Input!A205="","",Expense_Input!A205)</f>
        <v/>
      </c>
      <c r="B205" t="str">
        <f>IF(Expense_Input!B205="","",Expense_Input!B205)</f>
        <v/>
      </c>
      <c r="C205" t="str">
        <f t="shared" si="21"/>
        <v/>
      </c>
      <c r="D205" t="str">
        <f>IF(Expense_Input!C205="","",Expense_Input!C205)</f>
        <v/>
      </c>
      <c r="E205" s="4" t="str">
        <f>IF(Expense_Input!D205="","",Expense_Input!D205)</f>
        <v/>
      </c>
      <c r="F205" t="str">
        <f>IF(Expense_Input!E205="","",Expense_Input!E205)</f>
        <v/>
      </c>
      <c r="G205" t="str">
        <f>IF(Expense_Input!H205="","",Expense_Input!H205)</f>
        <v/>
      </c>
      <c r="H205" t="str">
        <f>IF(Expense_Input!I205="","Auto",Expense_Input!I205)</f>
        <v>Auto</v>
      </c>
      <c r="I205" t="str">
        <f>IF(F205="","",IFERROR(VLOOKUP(F205,Sales_Tax_Settings!$A$15:$B$27,2,FALSE),"Tax Unknown"))</f>
        <v/>
      </c>
      <c r="J205" t="str">
        <f t="shared" si="22"/>
        <v/>
      </c>
      <c r="K205" t="str">
        <f>IF(AND(Sales_Tax_Settings!$B$5="Yes",G205="Personal Expense",J205="Taxable"),"Yes","No")</f>
        <v>No</v>
      </c>
      <c r="L205" s="4">
        <f t="shared" si="23"/>
        <v>0</v>
      </c>
      <c r="M205" s="4">
        <f t="shared" si="24"/>
        <v>0</v>
      </c>
      <c r="N205" s="4">
        <f t="shared" si="25"/>
        <v>0</v>
      </c>
      <c r="O205" s="4">
        <f t="shared" si="26"/>
        <v>0</v>
      </c>
      <c r="P205" s="4">
        <f>IF(K205&lt;&gt;"Yes",0,IF(Sales_Tax_Settings!$B$6="Yes",E205/(1+Sales_Tax_Settings!$B$10),E205))</f>
        <v>0</v>
      </c>
      <c r="Q205" s="4">
        <f>IF(K205&lt;&gt;"Yes",0,P205*Sales_Tax_Settings!$B$8)</f>
        <v>0</v>
      </c>
      <c r="R205" s="4">
        <f>IF(K205&lt;&gt;"Yes",0,P205*Sales_Tax_Settings!$B$9)</f>
        <v>0</v>
      </c>
      <c r="S205" s="4">
        <f t="shared" si="27"/>
        <v>0</v>
      </c>
    </row>
    <row r="206" spans="1:19" x14ac:dyDescent="0.3">
      <c r="A206" t="str">
        <f>IF(Expense_Input!A206="","",Expense_Input!A206)</f>
        <v/>
      </c>
      <c r="B206" t="str">
        <f>IF(Expense_Input!B206="","",Expense_Input!B206)</f>
        <v/>
      </c>
      <c r="C206" t="str">
        <f t="shared" si="21"/>
        <v/>
      </c>
      <c r="D206" t="str">
        <f>IF(Expense_Input!C206="","",Expense_Input!C206)</f>
        <v/>
      </c>
      <c r="E206" s="4" t="str">
        <f>IF(Expense_Input!D206="","",Expense_Input!D206)</f>
        <v/>
      </c>
      <c r="F206" t="str">
        <f>IF(Expense_Input!E206="","",Expense_Input!E206)</f>
        <v/>
      </c>
      <c r="G206" t="str">
        <f>IF(Expense_Input!H206="","",Expense_Input!H206)</f>
        <v/>
      </c>
      <c r="H206" t="str">
        <f>IF(Expense_Input!I206="","Auto",Expense_Input!I206)</f>
        <v>Auto</v>
      </c>
      <c r="I206" t="str">
        <f>IF(F206="","",IFERROR(VLOOKUP(F206,Sales_Tax_Settings!$A$15:$B$27,2,FALSE),"Tax Unknown"))</f>
        <v/>
      </c>
      <c r="J206" t="str">
        <f t="shared" si="22"/>
        <v/>
      </c>
      <c r="K206" t="str">
        <f>IF(AND(Sales_Tax_Settings!$B$5="Yes",G206="Personal Expense",J206="Taxable"),"Yes","No")</f>
        <v>No</v>
      </c>
      <c r="L206" s="4">
        <f t="shared" si="23"/>
        <v>0</v>
      </c>
      <c r="M206" s="4">
        <f t="shared" si="24"/>
        <v>0</v>
      </c>
      <c r="N206" s="4">
        <f t="shared" si="25"/>
        <v>0</v>
      </c>
      <c r="O206" s="4">
        <f t="shared" si="26"/>
        <v>0</v>
      </c>
      <c r="P206" s="4">
        <f>IF(K206&lt;&gt;"Yes",0,IF(Sales_Tax_Settings!$B$6="Yes",E206/(1+Sales_Tax_Settings!$B$10),E206))</f>
        <v>0</v>
      </c>
      <c r="Q206" s="4">
        <f>IF(K206&lt;&gt;"Yes",0,P206*Sales_Tax_Settings!$B$8)</f>
        <v>0</v>
      </c>
      <c r="R206" s="4">
        <f>IF(K206&lt;&gt;"Yes",0,P206*Sales_Tax_Settings!$B$9)</f>
        <v>0</v>
      </c>
      <c r="S206" s="4">
        <f t="shared" si="27"/>
        <v>0</v>
      </c>
    </row>
    <row r="207" spans="1:19" x14ac:dyDescent="0.3">
      <c r="A207" t="str">
        <f>IF(Expense_Input!A207="","",Expense_Input!A207)</f>
        <v/>
      </c>
      <c r="B207" t="str">
        <f>IF(Expense_Input!B207="","",Expense_Input!B207)</f>
        <v/>
      </c>
      <c r="C207" t="str">
        <f t="shared" si="21"/>
        <v/>
      </c>
      <c r="D207" t="str">
        <f>IF(Expense_Input!C207="","",Expense_Input!C207)</f>
        <v/>
      </c>
      <c r="E207" s="4" t="str">
        <f>IF(Expense_Input!D207="","",Expense_Input!D207)</f>
        <v/>
      </c>
      <c r="F207" t="str">
        <f>IF(Expense_Input!E207="","",Expense_Input!E207)</f>
        <v/>
      </c>
      <c r="G207" t="str">
        <f>IF(Expense_Input!H207="","",Expense_Input!H207)</f>
        <v/>
      </c>
      <c r="H207" t="str">
        <f>IF(Expense_Input!I207="","Auto",Expense_Input!I207)</f>
        <v>Auto</v>
      </c>
      <c r="I207" t="str">
        <f>IF(F207="","",IFERROR(VLOOKUP(F207,Sales_Tax_Settings!$A$15:$B$27,2,FALSE),"Tax Unknown"))</f>
        <v/>
      </c>
      <c r="J207" t="str">
        <f t="shared" si="22"/>
        <v/>
      </c>
      <c r="K207" t="str">
        <f>IF(AND(Sales_Tax_Settings!$B$5="Yes",G207="Personal Expense",J207="Taxable"),"Yes","No")</f>
        <v>No</v>
      </c>
      <c r="L207" s="4">
        <f t="shared" si="23"/>
        <v>0</v>
      </c>
      <c r="M207" s="4">
        <f t="shared" si="24"/>
        <v>0</v>
      </c>
      <c r="N207" s="4">
        <f t="shared" si="25"/>
        <v>0</v>
      </c>
      <c r="O207" s="4">
        <f t="shared" si="26"/>
        <v>0</v>
      </c>
      <c r="P207" s="4">
        <f>IF(K207&lt;&gt;"Yes",0,IF(Sales_Tax_Settings!$B$6="Yes",E207/(1+Sales_Tax_Settings!$B$10),E207))</f>
        <v>0</v>
      </c>
      <c r="Q207" s="4">
        <f>IF(K207&lt;&gt;"Yes",0,P207*Sales_Tax_Settings!$B$8)</f>
        <v>0</v>
      </c>
      <c r="R207" s="4">
        <f>IF(K207&lt;&gt;"Yes",0,P207*Sales_Tax_Settings!$B$9)</f>
        <v>0</v>
      </c>
      <c r="S207" s="4">
        <f t="shared" si="27"/>
        <v>0</v>
      </c>
    </row>
    <row r="208" spans="1:19" x14ac:dyDescent="0.3">
      <c r="A208" t="str">
        <f>IF(Expense_Input!A208="","",Expense_Input!A208)</f>
        <v/>
      </c>
      <c r="B208" t="str">
        <f>IF(Expense_Input!B208="","",Expense_Input!B208)</f>
        <v/>
      </c>
      <c r="C208" t="str">
        <f t="shared" si="21"/>
        <v/>
      </c>
      <c r="D208" t="str">
        <f>IF(Expense_Input!C208="","",Expense_Input!C208)</f>
        <v/>
      </c>
      <c r="E208" s="4" t="str">
        <f>IF(Expense_Input!D208="","",Expense_Input!D208)</f>
        <v/>
      </c>
      <c r="F208" t="str">
        <f>IF(Expense_Input!E208="","",Expense_Input!E208)</f>
        <v/>
      </c>
      <c r="G208" t="str">
        <f>IF(Expense_Input!H208="","",Expense_Input!H208)</f>
        <v/>
      </c>
      <c r="H208" t="str">
        <f>IF(Expense_Input!I208="","Auto",Expense_Input!I208)</f>
        <v>Auto</v>
      </c>
      <c r="I208" t="str">
        <f>IF(F208="","",IFERROR(VLOOKUP(F208,Sales_Tax_Settings!$A$15:$B$27,2,FALSE),"Tax Unknown"))</f>
        <v/>
      </c>
      <c r="J208" t="str">
        <f t="shared" si="22"/>
        <v/>
      </c>
      <c r="K208" t="str">
        <f>IF(AND(Sales_Tax_Settings!$B$5="Yes",G208="Personal Expense",J208="Taxable"),"Yes","No")</f>
        <v>No</v>
      </c>
      <c r="L208" s="4">
        <f t="shared" si="23"/>
        <v>0</v>
      </c>
      <c r="M208" s="4">
        <f t="shared" si="24"/>
        <v>0</v>
      </c>
      <c r="N208" s="4">
        <f t="shared" si="25"/>
        <v>0</v>
      </c>
      <c r="O208" s="4">
        <f t="shared" si="26"/>
        <v>0</v>
      </c>
      <c r="P208" s="4">
        <f>IF(K208&lt;&gt;"Yes",0,IF(Sales_Tax_Settings!$B$6="Yes",E208/(1+Sales_Tax_Settings!$B$10),E208))</f>
        <v>0</v>
      </c>
      <c r="Q208" s="4">
        <f>IF(K208&lt;&gt;"Yes",0,P208*Sales_Tax_Settings!$B$8)</f>
        <v>0</v>
      </c>
      <c r="R208" s="4">
        <f>IF(K208&lt;&gt;"Yes",0,P208*Sales_Tax_Settings!$B$9)</f>
        <v>0</v>
      </c>
      <c r="S208" s="4">
        <f t="shared" si="27"/>
        <v>0</v>
      </c>
    </row>
    <row r="209" spans="1:19" x14ac:dyDescent="0.3">
      <c r="A209" t="str">
        <f>IF(Expense_Input!A209="","",Expense_Input!A209)</f>
        <v/>
      </c>
      <c r="B209" t="str">
        <f>IF(Expense_Input!B209="","",Expense_Input!B209)</f>
        <v/>
      </c>
      <c r="C209" t="str">
        <f t="shared" si="21"/>
        <v/>
      </c>
      <c r="D209" t="str">
        <f>IF(Expense_Input!C209="","",Expense_Input!C209)</f>
        <v/>
      </c>
      <c r="E209" s="4" t="str">
        <f>IF(Expense_Input!D209="","",Expense_Input!D209)</f>
        <v/>
      </c>
      <c r="F209" t="str">
        <f>IF(Expense_Input!E209="","",Expense_Input!E209)</f>
        <v/>
      </c>
      <c r="G209" t="str">
        <f>IF(Expense_Input!H209="","",Expense_Input!H209)</f>
        <v/>
      </c>
      <c r="H209" t="str">
        <f>IF(Expense_Input!I209="","Auto",Expense_Input!I209)</f>
        <v>Auto</v>
      </c>
      <c r="I209" t="str">
        <f>IF(F209="","",IFERROR(VLOOKUP(F209,Sales_Tax_Settings!$A$15:$B$27,2,FALSE),"Tax Unknown"))</f>
        <v/>
      </c>
      <c r="J209" t="str">
        <f t="shared" si="22"/>
        <v/>
      </c>
      <c r="K209" t="str">
        <f>IF(AND(Sales_Tax_Settings!$B$5="Yes",G209="Personal Expense",J209="Taxable"),"Yes","No")</f>
        <v>No</v>
      </c>
      <c r="L209" s="4">
        <f t="shared" si="23"/>
        <v>0</v>
      </c>
      <c r="M209" s="4">
        <f t="shared" si="24"/>
        <v>0</v>
      </c>
      <c r="N209" s="4">
        <f t="shared" si="25"/>
        <v>0</v>
      </c>
      <c r="O209" s="4">
        <f t="shared" si="26"/>
        <v>0</v>
      </c>
      <c r="P209" s="4">
        <f>IF(K209&lt;&gt;"Yes",0,IF(Sales_Tax_Settings!$B$6="Yes",E209/(1+Sales_Tax_Settings!$B$10),E209))</f>
        <v>0</v>
      </c>
      <c r="Q209" s="4">
        <f>IF(K209&lt;&gt;"Yes",0,P209*Sales_Tax_Settings!$B$8)</f>
        <v>0</v>
      </c>
      <c r="R209" s="4">
        <f>IF(K209&lt;&gt;"Yes",0,P209*Sales_Tax_Settings!$B$9)</f>
        <v>0</v>
      </c>
      <c r="S209" s="4">
        <f t="shared" si="27"/>
        <v>0</v>
      </c>
    </row>
    <row r="210" spans="1:19" x14ac:dyDescent="0.3">
      <c r="A210" t="str">
        <f>IF(Expense_Input!A210="","",Expense_Input!A210)</f>
        <v/>
      </c>
      <c r="B210" t="str">
        <f>IF(Expense_Input!B210="","",Expense_Input!B210)</f>
        <v/>
      </c>
      <c r="C210" t="str">
        <f t="shared" si="21"/>
        <v/>
      </c>
      <c r="D210" t="str">
        <f>IF(Expense_Input!C210="","",Expense_Input!C210)</f>
        <v/>
      </c>
      <c r="E210" s="4" t="str">
        <f>IF(Expense_Input!D210="","",Expense_Input!D210)</f>
        <v/>
      </c>
      <c r="F210" t="str">
        <f>IF(Expense_Input!E210="","",Expense_Input!E210)</f>
        <v/>
      </c>
      <c r="G210" t="str">
        <f>IF(Expense_Input!H210="","",Expense_Input!H210)</f>
        <v/>
      </c>
      <c r="H210" t="str">
        <f>IF(Expense_Input!I210="","Auto",Expense_Input!I210)</f>
        <v>Auto</v>
      </c>
      <c r="I210" t="str">
        <f>IF(F210="","",IFERROR(VLOOKUP(F210,Sales_Tax_Settings!$A$15:$B$27,2,FALSE),"Tax Unknown"))</f>
        <v/>
      </c>
      <c r="J210" t="str">
        <f t="shared" si="22"/>
        <v/>
      </c>
      <c r="K210" t="str">
        <f>IF(AND(Sales_Tax_Settings!$B$5="Yes",G210="Personal Expense",J210="Taxable"),"Yes","No")</f>
        <v>No</v>
      </c>
      <c r="L210" s="4">
        <f t="shared" si="23"/>
        <v>0</v>
      </c>
      <c r="M210" s="4">
        <f t="shared" si="24"/>
        <v>0</v>
      </c>
      <c r="N210" s="4">
        <f t="shared" si="25"/>
        <v>0</v>
      </c>
      <c r="O210" s="4">
        <f t="shared" si="26"/>
        <v>0</v>
      </c>
      <c r="P210" s="4">
        <f>IF(K210&lt;&gt;"Yes",0,IF(Sales_Tax_Settings!$B$6="Yes",E210/(1+Sales_Tax_Settings!$B$10),E210))</f>
        <v>0</v>
      </c>
      <c r="Q210" s="4">
        <f>IF(K210&lt;&gt;"Yes",0,P210*Sales_Tax_Settings!$B$8)</f>
        <v>0</v>
      </c>
      <c r="R210" s="4">
        <f>IF(K210&lt;&gt;"Yes",0,P210*Sales_Tax_Settings!$B$9)</f>
        <v>0</v>
      </c>
      <c r="S210" s="4">
        <f t="shared" si="27"/>
        <v>0</v>
      </c>
    </row>
    <row r="211" spans="1:19" x14ac:dyDescent="0.3">
      <c r="A211" t="str">
        <f>IF(Expense_Input!A211="","",Expense_Input!A211)</f>
        <v/>
      </c>
      <c r="B211" t="str">
        <f>IF(Expense_Input!B211="","",Expense_Input!B211)</f>
        <v/>
      </c>
      <c r="C211" t="str">
        <f t="shared" si="21"/>
        <v/>
      </c>
      <c r="D211" t="str">
        <f>IF(Expense_Input!C211="","",Expense_Input!C211)</f>
        <v/>
      </c>
      <c r="E211" s="4" t="str">
        <f>IF(Expense_Input!D211="","",Expense_Input!D211)</f>
        <v/>
      </c>
      <c r="F211" t="str">
        <f>IF(Expense_Input!E211="","",Expense_Input!E211)</f>
        <v/>
      </c>
      <c r="G211" t="str">
        <f>IF(Expense_Input!H211="","",Expense_Input!H211)</f>
        <v/>
      </c>
      <c r="H211" t="str">
        <f>IF(Expense_Input!I211="","Auto",Expense_Input!I211)</f>
        <v>Auto</v>
      </c>
      <c r="I211" t="str">
        <f>IF(F211="","",IFERROR(VLOOKUP(F211,Sales_Tax_Settings!$A$15:$B$27,2,FALSE),"Tax Unknown"))</f>
        <v/>
      </c>
      <c r="J211" t="str">
        <f t="shared" si="22"/>
        <v/>
      </c>
      <c r="K211" t="str">
        <f>IF(AND(Sales_Tax_Settings!$B$5="Yes",G211="Personal Expense",J211="Taxable"),"Yes","No")</f>
        <v>No</v>
      </c>
      <c r="L211" s="4">
        <f t="shared" si="23"/>
        <v>0</v>
      </c>
      <c r="M211" s="4">
        <f t="shared" si="24"/>
        <v>0</v>
      </c>
      <c r="N211" s="4">
        <f t="shared" si="25"/>
        <v>0</v>
      </c>
      <c r="O211" s="4">
        <f t="shared" si="26"/>
        <v>0</v>
      </c>
      <c r="P211" s="4">
        <f>IF(K211&lt;&gt;"Yes",0,IF(Sales_Tax_Settings!$B$6="Yes",E211/(1+Sales_Tax_Settings!$B$10),E211))</f>
        <v>0</v>
      </c>
      <c r="Q211" s="4">
        <f>IF(K211&lt;&gt;"Yes",0,P211*Sales_Tax_Settings!$B$8)</f>
        <v>0</v>
      </c>
      <c r="R211" s="4">
        <f>IF(K211&lt;&gt;"Yes",0,P211*Sales_Tax_Settings!$B$9)</f>
        <v>0</v>
      </c>
      <c r="S211" s="4">
        <f t="shared" si="27"/>
        <v>0</v>
      </c>
    </row>
    <row r="212" spans="1:19" x14ac:dyDescent="0.3">
      <c r="A212" t="str">
        <f>IF(Expense_Input!A212="","",Expense_Input!A212)</f>
        <v/>
      </c>
      <c r="B212" t="str">
        <f>IF(Expense_Input!B212="","",Expense_Input!B212)</f>
        <v/>
      </c>
      <c r="C212" t="str">
        <f t="shared" si="21"/>
        <v/>
      </c>
      <c r="D212" t="str">
        <f>IF(Expense_Input!C212="","",Expense_Input!C212)</f>
        <v/>
      </c>
      <c r="E212" s="4" t="str">
        <f>IF(Expense_Input!D212="","",Expense_Input!D212)</f>
        <v/>
      </c>
      <c r="F212" t="str">
        <f>IF(Expense_Input!E212="","",Expense_Input!E212)</f>
        <v/>
      </c>
      <c r="G212" t="str">
        <f>IF(Expense_Input!H212="","",Expense_Input!H212)</f>
        <v/>
      </c>
      <c r="H212" t="str">
        <f>IF(Expense_Input!I212="","Auto",Expense_Input!I212)</f>
        <v>Auto</v>
      </c>
      <c r="I212" t="str">
        <f>IF(F212="","",IFERROR(VLOOKUP(F212,Sales_Tax_Settings!$A$15:$B$27,2,FALSE),"Tax Unknown"))</f>
        <v/>
      </c>
      <c r="J212" t="str">
        <f t="shared" si="22"/>
        <v/>
      </c>
      <c r="K212" t="str">
        <f>IF(AND(Sales_Tax_Settings!$B$5="Yes",G212="Personal Expense",J212="Taxable"),"Yes","No")</f>
        <v>No</v>
      </c>
      <c r="L212" s="4">
        <f t="shared" si="23"/>
        <v>0</v>
      </c>
      <c r="M212" s="4">
        <f t="shared" si="24"/>
        <v>0</v>
      </c>
      <c r="N212" s="4">
        <f t="shared" si="25"/>
        <v>0</v>
      </c>
      <c r="O212" s="4">
        <f t="shared" si="26"/>
        <v>0</v>
      </c>
      <c r="P212" s="4">
        <f>IF(K212&lt;&gt;"Yes",0,IF(Sales_Tax_Settings!$B$6="Yes",E212/(1+Sales_Tax_Settings!$B$10),E212))</f>
        <v>0</v>
      </c>
      <c r="Q212" s="4">
        <f>IF(K212&lt;&gt;"Yes",0,P212*Sales_Tax_Settings!$B$8)</f>
        <v>0</v>
      </c>
      <c r="R212" s="4">
        <f>IF(K212&lt;&gt;"Yes",0,P212*Sales_Tax_Settings!$B$9)</f>
        <v>0</v>
      </c>
      <c r="S212" s="4">
        <f t="shared" si="27"/>
        <v>0</v>
      </c>
    </row>
    <row r="213" spans="1:19" x14ac:dyDescent="0.3">
      <c r="A213" t="str">
        <f>IF(Expense_Input!A213="","",Expense_Input!A213)</f>
        <v/>
      </c>
      <c r="B213" t="str">
        <f>IF(Expense_Input!B213="","",Expense_Input!B213)</f>
        <v/>
      </c>
      <c r="C213" t="str">
        <f t="shared" si="21"/>
        <v/>
      </c>
      <c r="D213" t="str">
        <f>IF(Expense_Input!C213="","",Expense_Input!C213)</f>
        <v/>
      </c>
      <c r="E213" s="4" t="str">
        <f>IF(Expense_Input!D213="","",Expense_Input!D213)</f>
        <v/>
      </c>
      <c r="F213" t="str">
        <f>IF(Expense_Input!E213="","",Expense_Input!E213)</f>
        <v/>
      </c>
      <c r="G213" t="str">
        <f>IF(Expense_Input!H213="","",Expense_Input!H213)</f>
        <v/>
      </c>
      <c r="H213" t="str">
        <f>IF(Expense_Input!I213="","Auto",Expense_Input!I213)</f>
        <v>Auto</v>
      </c>
      <c r="I213" t="str">
        <f>IF(F213="","",IFERROR(VLOOKUP(F213,Sales_Tax_Settings!$A$15:$B$27,2,FALSE),"Tax Unknown"))</f>
        <v/>
      </c>
      <c r="J213" t="str">
        <f t="shared" si="22"/>
        <v/>
      </c>
      <c r="K213" t="str">
        <f>IF(AND(Sales_Tax_Settings!$B$5="Yes",G213="Personal Expense",J213="Taxable"),"Yes","No")</f>
        <v>No</v>
      </c>
      <c r="L213" s="4">
        <f t="shared" si="23"/>
        <v>0</v>
      </c>
      <c r="M213" s="4">
        <f t="shared" si="24"/>
        <v>0</v>
      </c>
      <c r="N213" s="4">
        <f t="shared" si="25"/>
        <v>0</v>
      </c>
      <c r="O213" s="4">
        <f t="shared" si="26"/>
        <v>0</v>
      </c>
      <c r="P213" s="4">
        <f>IF(K213&lt;&gt;"Yes",0,IF(Sales_Tax_Settings!$B$6="Yes",E213/(1+Sales_Tax_Settings!$B$10),E213))</f>
        <v>0</v>
      </c>
      <c r="Q213" s="4">
        <f>IF(K213&lt;&gt;"Yes",0,P213*Sales_Tax_Settings!$B$8)</f>
        <v>0</v>
      </c>
      <c r="R213" s="4">
        <f>IF(K213&lt;&gt;"Yes",0,P213*Sales_Tax_Settings!$B$9)</f>
        <v>0</v>
      </c>
      <c r="S213" s="4">
        <f t="shared" si="27"/>
        <v>0</v>
      </c>
    </row>
    <row r="214" spans="1:19" x14ac:dyDescent="0.3">
      <c r="A214" t="str">
        <f>IF(Expense_Input!A214="","",Expense_Input!A214)</f>
        <v/>
      </c>
      <c r="B214" t="str">
        <f>IF(Expense_Input!B214="","",Expense_Input!B214)</f>
        <v/>
      </c>
      <c r="C214" t="str">
        <f t="shared" si="21"/>
        <v/>
      </c>
      <c r="D214" t="str">
        <f>IF(Expense_Input!C214="","",Expense_Input!C214)</f>
        <v/>
      </c>
      <c r="E214" s="4" t="str">
        <f>IF(Expense_Input!D214="","",Expense_Input!D214)</f>
        <v/>
      </c>
      <c r="F214" t="str">
        <f>IF(Expense_Input!E214="","",Expense_Input!E214)</f>
        <v/>
      </c>
      <c r="G214" t="str">
        <f>IF(Expense_Input!H214="","",Expense_Input!H214)</f>
        <v/>
      </c>
      <c r="H214" t="str">
        <f>IF(Expense_Input!I214="","Auto",Expense_Input!I214)</f>
        <v>Auto</v>
      </c>
      <c r="I214" t="str">
        <f>IF(F214="","",IFERROR(VLOOKUP(F214,Sales_Tax_Settings!$A$15:$B$27,2,FALSE),"Tax Unknown"))</f>
        <v/>
      </c>
      <c r="J214" t="str">
        <f t="shared" si="22"/>
        <v/>
      </c>
      <c r="K214" t="str">
        <f>IF(AND(Sales_Tax_Settings!$B$5="Yes",G214="Personal Expense",J214="Taxable"),"Yes","No")</f>
        <v>No</v>
      </c>
      <c r="L214" s="4">
        <f t="shared" si="23"/>
        <v>0</v>
      </c>
      <c r="M214" s="4">
        <f t="shared" si="24"/>
        <v>0</v>
      </c>
      <c r="N214" s="4">
        <f t="shared" si="25"/>
        <v>0</v>
      </c>
      <c r="O214" s="4">
        <f t="shared" si="26"/>
        <v>0</v>
      </c>
      <c r="P214" s="4">
        <f>IF(K214&lt;&gt;"Yes",0,IF(Sales_Tax_Settings!$B$6="Yes",E214/(1+Sales_Tax_Settings!$B$10),E214))</f>
        <v>0</v>
      </c>
      <c r="Q214" s="4">
        <f>IF(K214&lt;&gt;"Yes",0,P214*Sales_Tax_Settings!$B$8)</f>
        <v>0</v>
      </c>
      <c r="R214" s="4">
        <f>IF(K214&lt;&gt;"Yes",0,P214*Sales_Tax_Settings!$B$9)</f>
        <v>0</v>
      </c>
      <c r="S214" s="4">
        <f t="shared" si="27"/>
        <v>0</v>
      </c>
    </row>
    <row r="215" spans="1:19" x14ac:dyDescent="0.3">
      <c r="A215" t="str">
        <f>IF(Expense_Input!A215="","",Expense_Input!A215)</f>
        <v/>
      </c>
      <c r="B215" t="str">
        <f>IF(Expense_Input!B215="","",Expense_Input!B215)</f>
        <v/>
      </c>
      <c r="C215" t="str">
        <f t="shared" si="21"/>
        <v/>
      </c>
      <c r="D215" t="str">
        <f>IF(Expense_Input!C215="","",Expense_Input!C215)</f>
        <v/>
      </c>
      <c r="E215" s="4" t="str">
        <f>IF(Expense_Input!D215="","",Expense_Input!D215)</f>
        <v/>
      </c>
      <c r="F215" t="str">
        <f>IF(Expense_Input!E215="","",Expense_Input!E215)</f>
        <v/>
      </c>
      <c r="G215" t="str">
        <f>IF(Expense_Input!H215="","",Expense_Input!H215)</f>
        <v/>
      </c>
      <c r="H215" t="str">
        <f>IF(Expense_Input!I215="","Auto",Expense_Input!I215)</f>
        <v>Auto</v>
      </c>
      <c r="I215" t="str">
        <f>IF(F215="","",IFERROR(VLOOKUP(F215,Sales_Tax_Settings!$A$15:$B$27,2,FALSE),"Tax Unknown"))</f>
        <v/>
      </c>
      <c r="J215" t="str">
        <f t="shared" si="22"/>
        <v/>
      </c>
      <c r="K215" t="str">
        <f>IF(AND(Sales_Tax_Settings!$B$5="Yes",G215="Personal Expense",J215="Taxable"),"Yes","No")</f>
        <v>No</v>
      </c>
      <c r="L215" s="4">
        <f t="shared" si="23"/>
        <v>0</v>
      </c>
      <c r="M215" s="4">
        <f t="shared" si="24"/>
        <v>0</v>
      </c>
      <c r="N215" s="4">
        <f t="shared" si="25"/>
        <v>0</v>
      </c>
      <c r="O215" s="4">
        <f t="shared" si="26"/>
        <v>0</v>
      </c>
      <c r="P215" s="4">
        <f>IF(K215&lt;&gt;"Yes",0,IF(Sales_Tax_Settings!$B$6="Yes",E215/(1+Sales_Tax_Settings!$B$10),E215))</f>
        <v>0</v>
      </c>
      <c r="Q215" s="4">
        <f>IF(K215&lt;&gt;"Yes",0,P215*Sales_Tax_Settings!$B$8)</f>
        <v>0</v>
      </c>
      <c r="R215" s="4">
        <f>IF(K215&lt;&gt;"Yes",0,P215*Sales_Tax_Settings!$B$9)</f>
        <v>0</v>
      </c>
      <c r="S215" s="4">
        <f t="shared" si="27"/>
        <v>0</v>
      </c>
    </row>
    <row r="216" spans="1:19" x14ac:dyDescent="0.3">
      <c r="A216" t="str">
        <f>IF(Expense_Input!A216="","",Expense_Input!A216)</f>
        <v/>
      </c>
      <c r="B216" t="str">
        <f>IF(Expense_Input!B216="","",Expense_Input!B216)</f>
        <v/>
      </c>
      <c r="C216" t="str">
        <f t="shared" si="21"/>
        <v/>
      </c>
      <c r="D216" t="str">
        <f>IF(Expense_Input!C216="","",Expense_Input!C216)</f>
        <v/>
      </c>
      <c r="E216" s="4" t="str">
        <f>IF(Expense_Input!D216="","",Expense_Input!D216)</f>
        <v/>
      </c>
      <c r="F216" t="str">
        <f>IF(Expense_Input!E216="","",Expense_Input!E216)</f>
        <v/>
      </c>
      <c r="G216" t="str">
        <f>IF(Expense_Input!H216="","",Expense_Input!H216)</f>
        <v/>
      </c>
      <c r="H216" t="str">
        <f>IF(Expense_Input!I216="","Auto",Expense_Input!I216)</f>
        <v>Auto</v>
      </c>
      <c r="I216" t="str">
        <f>IF(F216="","",IFERROR(VLOOKUP(F216,Sales_Tax_Settings!$A$15:$B$27,2,FALSE),"Tax Unknown"))</f>
        <v/>
      </c>
      <c r="J216" t="str">
        <f t="shared" si="22"/>
        <v/>
      </c>
      <c r="K216" t="str">
        <f>IF(AND(Sales_Tax_Settings!$B$5="Yes",G216="Personal Expense",J216="Taxable"),"Yes","No")</f>
        <v>No</v>
      </c>
      <c r="L216" s="4">
        <f t="shared" si="23"/>
        <v>0</v>
      </c>
      <c r="M216" s="4">
        <f t="shared" si="24"/>
        <v>0</v>
      </c>
      <c r="N216" s="4">
        <f t="shared" si="25"/>
        <v>0</v>
      </c>
      <c r="O216" s="4">
        <f t="shared" si="26"/>
        <v>0</v>
      </c>
      <c r="P216" s="4">
        <f>IF(K216&lt;&gt;"Yes",0,IF(Sales_Tax_Settings!$B$6="Yes",E216/(1+Sales_Tax_Settings!$B$10),E216))</f>
        <v>0</v>
      </c>
      <c r="Q216" s="4">
        <f>IF(K216&lt;&gt;"Yes",0,P216*Sales_Tax_Settings!$B$8)</f>
        <v>0</v>
      </c>
      <c r="R216" s="4">
        <f>IF(K216&lt;&gt;"Yes",0,P216*Sales_Tax_Settings!$B$9)</f>
        <v>0</v>
      </c>
      <c r="S216" s="4">
        <f t="shared" si="27"/>
        <v>0</v>
      </c>
    </row>
    <row r="217" spans="1:19" x14ac:dyDescent="0.3">
      <c r="A217" t="str">
        <f>IF(Expense_Input!A217="","",Expense_Input!A217)</f>
        <v/>
      </c>
      <c r="B217" t="str">
        <f>IF(Expense_Input!B217="","",Expense_Input!B217)</f>
        <v/>
      </c>
      <c r="C217" t="str">
        <f t="shared" si="21"/>
        <v/>
      </c>
      <c r="D217" t="str">
        <f>IF(Expense_Input!C217="","",Expense_Input!C217)</f>
        <v/>
      </c>
      <c r="E217" s="4" t="str">
        <f>IF(Expense_Input!D217="","",Expense_Input!D217)</f>
        <v/>
      </c>
      <c r="F217" t="str">
        <f>IF(Expense_Input!E217="","",Expense_Input!E217)</f>
        <v/>
      </c>
      <c r="G217" t="str">
        <f>IF(Expense_Input!H217="","",Expense_Input!H217)</f>
        <v/>
      </c>
      <c r="H217" t="str">
        <f>IF(Expense_Input!I217="","Auto",Expense_Input!I217)</f>
        <v>Auto</v>
      </c>
      <c r="I217" t="str">
        <f>IF(F217="","",IFERROR(VLOOKUP(F217,Sales_Tax_Settings!$A$15:$B$27,2,FALSE),"Tax Unknown"))</f>
        <v/>
      </c>
      <c r="J217" t="str">
        <f t="shared" si="22"/>
        <v/>
      </c>
      <c r="K217" t="str">
        <f>IF(AND(Sales_Tax_Settings!$B$5="Yes",G217="Personal Expense",J217="Taxable"),"Yes","No")</f>
        <v>No</v>
      </c>
      <c r="L217" s="4">
        <f t="shared" si="23"/>
        <v>0</v>
      </c>
      <c r="M217" s="4">
        <f t="shared" si="24"/>
        <v>0</v>
      </c>
      <c r="N217" s="4">
        <f t="shared" si="25"/>
        <v>0</v>
      </c>
      <c r="O217" s="4">
        <f t="shared" si="26"/>
        <v>0</v>
      </c>
      <c r="P217" s="4">
        <f>IF(K217&lt;&gt;"Yes",0,IF(Sales_Tax_Settings!$B$6="Yes",E217/(1+Sales_Tax_Settings!$B$10),E217))</f>
        <v>0</v>
      </c>
      <c r="Q217" s="4">
        <f>IF(K217&lt;&gt;"Yes",0,P217*Sales_Tax_Settings!$B$8)</f>
        <v>0</v>
      </c>
      <c r="R217" s="4">
        <f>IF(K217&lt;&gt;"Yes",0,P217*Sales_Tax_Settings!$B$9)</f>
        <v>0</v>
      </c>
      <c r="S217" s="4">
        <f t="shared" si="27"/>
        <v>0</v>
      </c>
    </row>
    <row r="218" spans="1:19" x14ac:dyDescent="0.3">
      <c r="A218" t="str">
        <f>IF(Expense_Input!A218="","",Expense_Input!A218)</f>
        <v/>
      </c>
      <c r="B218" t="str">
        <f>IF(Expense_Input!B218="","",Expense_Input!B218)</f>
        <v/>
      </c>
      <c r="C218" t="str">
        <f t="shared" si="21"/>
        <v/>
      </c>
      <c r="D218" t="str">
        <f>IF(Expense_Input!C218="","",Expense_Input!C218)</f>
        <v/>
      </c>
      <c r="E218" s="4" t="str">
        <f>IF(Expense_Input!D218="","",Expense_Input!D218)</f>
        <v/>
      </c>
      <c r="F218" t="str">
        <f>IF(Expense_Input!E218="","",Expense_Input!E218)</f>
        <v/>
      </c>
      <c r="G218" t="str">
        <f>IF(Expense_Input!H218="","",Expense_Input!H218)</f>
        <v/>
      </c>
      <c r="H218" t="str">
        <f>IF(Expense_Input!I218="","Auto",Expense_Input!I218)</f>
        <v>Auto</v>
      </c>
      <c r="I218" t="str">
        <f>IF(F218="","",IFERROR(VLOOKUP(F218,Sales_Tax_Settings!$A$15:$B$27,2,FALSE),"Tax Unknown"))</f>
        <v/>
      </c>
      <c r="J218" t="str">
        <f t="shared" si="22"/>
        <v/>
      </c>
      <c r="K218" t="str">
        <f>IF(AND(Sales_Tax_Settings!$B$5="Yes",G218="Personal Expense",J218="Taxable"),"Yes","No")</f>
        <v>No</v>
      </c>
      <c r="L218" s="4">
        <f t="shared" si="23"/>
        <v>0</v>
      </c>
      <c r="M218" s="4">
        <f t="shared" si="24"/>
        <v>0</v>
      </c>
      <c r="N218" s="4">
        <f t="shared" si="25"/>
        <v>0</v>
      </c>
      <c r="O218" s="4">
        <f t="shared" si="26"/>
        <v>0</v>
      </c>
      <c r="P218" s="4">
        <f>IF(K218&lt;&gt;"Yes",0,IF(Sales_Tax_Settings!$B$6="Yes",E218/(1+Sales_Tax_Settings!$B$10),E218))</f>
        <v>0</v>
      </c>
      <c r="Q218" s="4">
        <f>IF(K218&lt;&gt;"Yes",0,P218*Sales_Tax_Settings!$B$8)</f>
        <v>0</v>
      </c>
      <c r="R218" s="4">
        <f>IF(K218&lt;&gt;"Yes",0,P218*Sales_Tax_Settings!$B$9)</f>
        <v>0</v>
      </c>
      <c r="S218" s="4">
        <f t="shared" si="27"/>
        <v>0</v>
      </c>
    </row>
    <row r="219" spans="1:19" x14ac:dyDescent="0.3">
      <c r="A219" t="str">
        <f>IF(Expense_Input!A219="","",Expense_Input!A219)</f>
        <v/>
      </c>
      <c r="B219" t="str">
        <f>IF(Expense_Input!B219="","",Expense_Input!B219)</f>
        <v/>
      </c>
      <c r="C219" t="str">
        <f t="shared" si="21"/>
        <v/>
      </c>
      <c r="D219" t="str">
        <f>IF(Expense_Input!C219="","",Expense_Input!C219)</f>
        <v/>
      </c>
      <c r="E219" s="4" t="str">
        <f>IF(Expense_Input!D219="","",Expense_Input!D219)</f>
        <v/>
      </c>
      <c r="F219" t="str">
        <f>IF(Expense_Input!E219="","",Expense_Input!E219)</f>
        <v/>
      </c>
      <c r="G219" t="str">
        <f>IF(Expense_Input!H219="","",Expense_Input!H219)</f>
        <v/>
      </c>
      <c r="H219" t="str">
        <f>IF(Expense_Input!I219="","Auto",Expense_Input!I219)</f>
        <v>Auto</v>
      </c>
      <c r="I219" t="str">
        <f>IF(F219="","",IFERROR(VLOOKUP(F219,Sales_Tax_Settings!$A$15:$B$27,2,FALSE),"Tax Unknown"))</f>
        <v/>
      </c>
      <c r="J219" t="str">
        <f t="shared" si="22"/>
        <v/>
      </c>
      <c r="K219" t="str">
        <f>IF(AND(Sales_Tax_Settings!$B$5="Yes",G219="Personal Expense",J219="Taxable"),"Yes","No")</f>
        <v>No</v>
      </c>
      <c r="L219" s="4">
        <f t="shared" si="23"/>
        <v>0</v>
      </c>
      <c r="M219" s="4">
        <f t="shared" si="24"/>
        <v>0</v>
      </c>
      <c r="N219" s="4">
        <f t="shared" si="25"/>
        <v>0</v>
      </c>
      <c r="O219" s="4">
        <f t="shared" si="26"/>
        <v>0</v>
      </c>
      <c r="P219" s="4">
        <f>IF(K219&lt;&gt;"Yes",0,IF(Sales_Tax_Settings!$B$6="Yes",E219/(1+Sales_Tax_Settings!$B$10),E219))</f>
        <v>0</v>
      </c>
      <c r="Q219" s="4">
        <f>IF(K219&lt;&gt;"Yes",0,P219*Sales_Tax_Settings!$B$8)</f>
        <v>0</v>
      </c>
      <c r="R219" s="4">
        <f>IF(K219&lt;&gt;"Yes",0,P219*Sales_Tax_Settings!$B$9)</f>
        <v>0</v>
      </c>
      <c r="S219" s="4">
        <f t="shared" si="27"/>
        <v>0</v>
      </c>
    </row>
    <row r="220" spans="1:19" x14ac:dyDescent="0.3">
      <c r="A220" t="str">
        <f>IF(Expense_Input!A220="","",Expense_Input!A220)</f>
        <v/>
      </c>
      <c r="B220" t="str">
        <f>IF(Expense_Input!B220="","",Expense_Input!B220)</f>
        <v/>
      </c>
      <c r="C220" t="str">
        <f t="shared" si="21"/>
        <v/>
      </c>
      <c r="D220" t="str">
        <f>IF(Expense_Input!C220="","",Expense_Input!C220)</f>
        <v/>
      </c>
      <c r="E220" s="4" t="str">
        <f>IF(Expense_Input!D220="","",Expense_Input!D220)</f>
        <v/>
      </c>
      <c r="F220" t="str">
        <f>IF(Expense_Input!E220="","",Expense_Input!E220)</f>
        <v/>
      </c>
      <c r="G220" t="str">
        <f>IF(Expense_Input!H220="","",Expense_Input!H220)</f>
        <v/>
      </c>
      <c r="H220" t="str">
        <f>IF(Expense_Input!I220="","Auto",Expense_Input!I220)</f>
        <v>Auto</v>
      </c>
      <c r="I220" t="str">
        <f>IF(F220="","",IFERROR(VLOOKUP(F220,Sales_Tax_Settings!$A$15:$B$27,2,FALSE),"Tax Unknown"))</f>
        <v/>
      </c>
      <c r="J220" t="str">
        <f t="shared" si="22"/>
        <v/>
      </c>
      <c r="K220" t="str">
        <f>IF(AND(Sales_Tax_Settings!$B$5="Yes",G220="Personal Expense",J220="Taxable"),"Yes","No")</f>
        <v>No</v>
      </c>
      <c r="L220" s="4">
        <f t="shared" si="23"/>
        <v>0</v>
      </c>
      <c r="M220" s="4">
        <f t="shared" si="24"/>
        <v>0</v>
      </c>
      <c r="N220" s="4">
        <f t="shared" si="25"/>
        <v>0</v>
      </c>
      <c r="O220" s="4">
        <f t="shared" si="26"/>
        <v>0</v>
      </c>
      <c r="P220" s="4">
        <f>IF(K220&lt;&gt;"Yes",0,IF(Sales_Tax_Settings!$B$6="Yes",E220/(1+Sales_Tax_Settings!$B$10),E220))</f>
        <v>0</v>
      </c>
      <c r="Q220" s="4">
        <f>IF(K220&lt;&gt;"Yes",0,P220*Sales_Tax_Settings!$B$8)</f>
        <v>0</v>
      </c>
      <c r="R220" s="4">
        <f>IF(K220&lt;&gt;"Yes",0,P220*Sales_Tax_Settings!$B$9)</f>
        <v>0</v>
      </c>
      <c r="S220" s="4">
        <f t="shared" si="27"/>
        <v>0</v>
      </c>
    </row>
    <row r="221" spans="1:19" x14ac:dyDescent="0.3">
      <c r="A221" t="str">
        <f>IF(Expense_Input!A221="","",Expense_Input!A221)</f>
        <v/>
      </c>
      <c r="B221" t="str">
        <f>IF(Expense_Input!B221="","",Expense_Input!B221)</f>
        <v/>
      </c>
      <c r="C221" t="str">
        <f t="shared" si="21"/>
        <v/>
      </c>
      <c r="D221" t="str">
        <f>IF(Expense_Input!C221="","",Expense_Input!C221)</f>
        <v/>
      </c>
      <c r="E221" s="4" t="str">
        <f>IF(Expense_Input!D221="","",Expense_Input!D221)</f>
        <v/>
      </c>
      <c r="F221" t="str">
        <f>IF(Expense_Input!E221="","",Expense_Input!E221)</f>
        <v/>
      </c>
      <c r="G221" t="str">
        <f>IF(Expense_Input!H221="","",Expense_Input!H221)</f>
        <v/>
      </c>
      <c r="H221" t="str">
        <f>IF(Expense_Input!I221="","Auto",Expense_Input!I221)</f>
        <v>Auto</v>
      </c>
      <c r="I221" t="str">
        <f>IF(F221="","",IFERROR(VLOOKUP(F221,Sales_Tax_Settings!$A$15:$B$27,2,FALSE),"Tax Unknown"))</f>
        <v/>
      </c>
      <c r="J221" t="str">
        <f t="shared" si="22"/>
        <v/>
      </c>
      <c r="K221" t="str">
        <f>IF(AND(Sales_Tax_Settings!$B$5="Yes",G221="Personal Expense",J221="Taxable"),"Yes","No")</f>
        <v>No</v>
      </c>
      <c r="L221" s="4">
        <f t="shared" si="23"/>
        <v>0</v>
      </c>
      <c r="M221" s="4">
        <f t="shared" si="24"/>
        <v>0</v>
      </c>
      <c r="N221" s="4">
        <f t="shared" si="25"/>
        <v>0</v>
      </c>
      <c r="O221" s="4">
        <f t="shared" si="26"/>
        <v>0</v>
      </c>
      <c r="P221" s="4">
        <f>IF(K221&lt;&gt;"Yes",0,IF(Sales_Tax_Settings!$B$6="Yes",E221/(1+Sales_Tax_Settings!$B$10),E221))</f>
        <v>0</v>
      </c>
      <c r="Q221" s="4">
        <f>IF(K221&lt;&gt;"Yes",0,P221*Sales_Tax_Settings!$B$8)</f>
        <v>0</v>
      </c>
      <c r="R221" s="4">
        <f>IF(K221&lt;&gt;"Yes",0,P221*Sales_Tax_Settings!$B$9)</f>
        <v>0</v>
      </c>
      <c r="S221" s="4">
        <f t="shared" si="27"/>
        <v>0</v>
      </c>
    </row>
    <row r="222" spans="1:19" x14ac:dyDescent="0.3">
      <c r="A222" t="str">
        <f>IF(Expense_Input!A222="","",Expense_Input!A222)</f>
        <v/>
      </c>
      <c r="B222" t="str">
        <f>IF(Expense_Input!B222="","",Expense_Input!B222)</f>
        <v/>
      </c>
      <c r="C222" t="str">
        <f t="shared" si="21"/>
        <v/>
      </c>
      <c r="D222" t="str">
        <f>IF(Expense_Input!C222="","",Expense_Input!C222)</f>
        <v/>
      </c>
      <c r="E222" s="4" t="str">
        <f>IF(Expense_Input!D222="","",Expense_Input!D222)</f>
        <v/>
      </c>
      <c r="F222" t="str">
        <f>IF(Expense_Input!E222="","",Expense_Input!E222)</f>
        <v/>
      </c>
      <c r="G222" t="str">
        <f>IF(Expense_Input!H222="","",Expense_Input!H222)</f>
        <v/>
      </c>
      <c r="H222" t="str">
        <f>IF(Expense_Input!I222="","Auto",Expense_Input!I222)</f>
        <v>Auto</v>
      </c>
      <c r="I222" t="str">
        <f>IF(F222="","",IFERROR(VLOOKUP(F222,Sales_Tax_Settings!$A$15:$B$27,2,FALSE),"Tax Unknown"))</f>
        <v/>
      </c>
      <c r="J222" t="str">
        <f t="shared" si="22"/>
        <v/>
      </c>
      <c r="K222" t="str">
        <f>IF(AND(Sales_Tax_Settings!$B$5="Yes",G222="Personal Expense",J222="Taxable"),"Yes","No")</f>
        <v>No</v>
      </c>
      <c r="L222" s="4">
        <f t="shared" si="23"/>
        <v>0</v>
      </c>
      <c r="M222" s="4">
        <f t="shared" si="24"/>
        <v>0</v>
      </c>
      <c r="N222" s="4">
        <f t="shared" si="25"/>
        <v>0</v>
      </c>
      <c r="O222" s="4">
        <f t="shared" si="26"/>
        <v>0</v>
      </c>
      <c r="P222" s="4">
        <f>IF(K222&lt;&gt;"Yes",0,IF(Sales_Tax_Settings!$B$6="Yes",E222/(1+Sales_Tax_Settings!$B$10),E222))</f>
        <v>0</v>
      </c>
      <c r="Q222" s="4">
        <f>IF(K222&lt;&gt;"Yes",0,P222*Sales_Tax_Settings!$B$8)</f>
        <v>0</v>
      </c>
      <c r="R222" s="4">
        <f>IF(K222&lt;&gt;"Yes",0,P222*Sales_Tax_Settings!$B$9)</f>
        <v>0</v>
      </c>
      <c r="S222" s="4">
        <f t="shared" si="27"/>
        <v>0</v>
      </c>
    </row>
    <row r="223" spans="1:19" x14ac:dyDescent="0.3">
      <c r="A223" t="str">
        <f>IF(Expense_Input!A223="","",Expense_Input!A223)</f>
        <v/>
      </c>
      <c r="B223" t="str">
        <f>IF(Expense_Input!B223="","",Expense_Input!B223)</f>
        <v/>
      </c>
      <c r="C223" t="str">
        <f t="shared" si="21"/>
        <v/>
      </c>
      <c r="D223" t="str">
        <f>IF(Expense_Input!C223="","",Expense_Input!C223)</f>
        <v/>
      </c>
      <c r="E223" s="4" t="str">
        <f>IF(Expense_Input!D223="","",Expense_Input!D223)</f>
        <v/>
      </c>
      <c r="F223" t="str">
        <f>IF(Expense_Input!E223="","",Expense_Input!E223)</f>
        <v/>
      </c>
      <c r="G223" t="str">
        <f>IF(Expense_Input!H223="","",Expense_Input!H223)</f>
        <v/>
      </c>
      <c r="H223" t="str">
        <f>IF(Expense_Input!I223="","Auto",Expense_Input!I223)</f>
        <v>Auto</v>
      </c>
      <c r="I223" t="str">
        <f>IF(F223="","",IFERROR(VLOOKUP(F223,Sales_Tax_Settings!$A$15:$B$27,2,FALSE),"Tax Unknown"))</f>
        <v/>
      </c>
      <c r="J223" t="str">
        <f t="shared" si="22"/>
        <v/>
      </c>
      <c r="K223" t="str">
        <f>IF(AND(Sales_Tax_Settings!$B$5="Yes",G223="Personal Expense",J223="Taxable"),"Yes","No")</f>
        <v>No</v>
      </c>
      <c r="L223" s="4">
        <f t="shared" si="23"/>
        <v>0</v>
      </c>
      <c r="M223" s="4">
        <f t="shared" si="24"/>
        <v>0</v>
      </c>
      <c r="N223" s="4">
        <f t="shared" si="25"/>
        <v>0</v>
      </c>
      <c r="O223" s="4">
        <f t="shared" si="26"/>
        <v>0</v>
      </c>
      <c r="P223" s="4">
        <f>IF(K223&lt;&gt;"Yes",0,IF(Sales_Tax_Settings!$B$6="Yes",E223/(1+Sales_Tax_Settings!$B$10),E223))</f>
        <v>0</v>
      </c>
      <c r="Q223" s="4">
        <f>IF(K223&lt;&gt;"Yes",0,P223*Sales_Tax_Settings!$B$8)</f>
        <v>0</v>
      </c>
      <c r="R223" s="4">
        <f>IF(K223&lt;&gt;"Yes",0,P223*Sales_Tax_Settings!$B$9)</f>
        <v>0</v>
      </c>
      <c r="S223" s="4">
        <f t="shared" si="27"/>
        <v>0</v>
      </c>
    </row>
    <row r="224" spans="1:19" x14ac:dyDescent="0.3">
      <c r="A224" t="str">
        <f>IF(Expense_Input!A224="","",Expense_Input!A224)</f>
        <v/>
      </c>
      <c r="B224" t="str">
        <f>IF(Expense_Input!B224="","",Expense_Input!B224)</f>
        <v/>
      </c>
      <c r="C224" t="str">
        <f t="shared" si="21"/>
        <v/>
      </c>
      <c r="D224" t="str">
        <f>IF(Expense_Input!C224="","",Expense_Input!C224)</f>
        <v/>
      </c>
      <c r="E224" s="4" t="str">
        <f>IF(Expense_Input!D224="","",Expense_Input!D224)</f>
        <v/>
      </c>
      <c r="F224" t="str">
        <f>IF(Expense_Input!E224="","",Expense_Input!E224)</f>
        <v/>
      </c>
      <c r="G224" t="str">
        <f>IF(Expense_Input!H224="","",Expense_Input!H224)</f>
        <v/>
      </c>
      <c r="H224" t="str">
        <f>IF(Expense_Input!I224="","Auto",Expense_Input!I224)</f>
        <v>Auto</v>
      </c>
      <c r="I224" t="str">
        <f>IF(F224="","",IFERROR(VLOOKUP(F224,Sales_Tax_Settings!$A$15:$B$27,2,FALSE),"Tax Unknown"))</f>
        <v/>
      </c>
      <c r="J224" t="str">
        <f t="shared" si="22"/>
        <v/>
      </c>
      <c r="K224" t="str">
        <f>IF(AND(Sales_Tax_Settings!$B$5="Yes",G224="Personal Expense",J224="Taxable"),"Yes","No")</f>
        <v>No</v>
      </c>
      <c r="L224" s="4">
        <f t="shared" si="23"/>
        <v>0</v>
      </c>
      <c r="M224" s="4">
        <f t="shared" si="24"/>
        <v>0</v>
      </c>
      <c r="N224" s="4">
        <f t="shared" si="25"/>
        <v>0</v>
      </c>
      <c r="O224" s="4">
        <f t="shared" si="26"/>
        <v>0</v>
      </c>
      <c r="P224" s="4">
        <f>IF(K224&lt;&gt;"Yes",0,IF(Sales_Tax_Settings!$B$6="Yes",E224/(1+Sales_Tax_Settings!$B$10),E224))</f>
        <v>0</v>
      </c>
      <c r="Q224" s="4">
        <f>IF(K224&lt;&gt;"Yes",0,P224*Sales_Tax_Settings!$B$8)</f>
        <v>0</v>
      </c>
      <c r="R224" s="4">
        <f>IF(K224&lt;&gt;"Yes",0,P224*Sales_Tax_Settings!$B$9)</f>
        <v>0</v>
      </c>
      <c r="S224" s="4">
        <f t="shared" si="27"/>
        <v>0</v>
      </c>
    </row>
    <row r="225" spans="1:19" x14ac:dyDescent="0.3">
      <c r="A225" t="str">
        <f>IF(Expense_Input!A225="","",Expense_Input!A225)</f>
        <v/>
      </c>
      <c r="B225" t="str">
        <f>IF(Expense_Input!B225="","",Expense_Input!B225)</f>
        <v/>
      </c>
      <c r="C225" t="str">
        <f t="shared" si="21"/>
        <v/>
      </c>
      <c r="D225" t="str">
        <f>IF(Expense_Input!C225="","",Expense_Input!C225)</f>
        <v/>
      </c>
      <c r="E225" s="4" t="str">
        <f>IF(Expense_Input!D225="","",Expense_Input!D225)</f>
        <v/>
      </c>
      <c r="F225" t="str">
        <f>IF(Expense_Input!E225="","",Expense_Input!E225)</f>
        <v/>
      </c>
      <c r="G225" t="str">
        <f>IF(Expense_Input!H225="","",Expense_Input!H225)</f>
        <v/>
      </c>
      <c r="H225" t="str">
        <f>IF(Expense_Input!I225="","Auto",Expense_Input!I225)</f>
        <v>Auto</v>
      </c>
      <c r="I225" t="str">
        <f>IF(F225="","",IFERROR(VLOOKUP(F225,Sales_Tax_Settings!$A$15:$B$27,2,FALSE),"Tax Unknown"))</f>
        <v/>
      </c>
      <c r="J225" t="str">
        <f t="shared" si="22"/>
        <v/>
      </c>
      <c r="K225" t="str">
        <f>IF(AND(Sales_Tax_Settings!$B$5="Yes",G225="Personal Expense",J225="Taxable"),"Yes","No")</f>
        <v>No</v>
      </c>
      <c r="L225" s="4">
        <f t="shared" si="23"/>
        <v>0</v>
      </c>
      <c r="M225" s="4">
        <f t="shared" si="24"/>
        <v>0</v>
      </c>
      <c r="N225" s="4">
        <f t="shared" si="25"/>
        <v>0</v>
      </c>
      <c r="O225" s="4">
        <f t="shared" si="26"/>
        <v>0</v>
      </c>
      <c r="P225" s="4">
        <f>IF(K225&lt;&gt;"Yes",0,IF(Sales_Tax_Settings!$B$6="Yes",E225/(1+Sales_Tax_Settings!$B$10),E225))</f>
        <v>0</v>
      </c>
      <c r="Q225" s="4">
        <f>IF(K225&lt;&gt;"Yes",0,P225*Sales_Tax_Settings!$B$8)</f>
        <v>0</v>
      </c>
      <c r="R225" s="4">
        <f>IF(K225&lt;&gt;"Yes",0,P225*Sales_Tax_Settings!$B$9)</f>
        <v>0</v>
      </c>
      <c r="S225" s="4">
        <f t="shared" si="27"/>
        <v>0</v>
      </c>
    </row>
    <row r="226" spans="1:19" x14ac:dyDescent="0.3">
      <c r="A226" t="str">
        <f>IF(Expense_Input!A226="","",Expense_Input!A226)</f>
        <v/>
      </c>
      <c r="B226" t="str">
        <f>IF(Expense_Input!B226="","",Expense_Input!B226)</f>
        <v/>
      </c>
      <c r="C226" t="str">
        <f t="shared" si="21"/>
        <v/>
      </c>
      <c r="D226" t="str">
        <f>IF(Expense_Input!C226="","",Expense_Input!C226)</f>
        <v/>
      </c>
      <c r="E226" s="4" t="str">
        <f>IF(Expense_Input!D226="","",Expense_Input!D226)</f>
        <v/>
      </c>
      <c r="F226" t="str">
        <f>IF(Expense_Input!E226="","",Expense_Input!E226)</f>
        <v/>
      </c>
      <c r="G226" t="str">
        <f>IF(Expense_Input!H226="","",Expense_Input!H226)</f>
        <v/>
      </c>
      <c r="H226" t="str">
        <f>IF(Expense_Input!I226="","Auto",Expense_Input!I226)</f>
        <v>Auto</v>
      </c>
      <c r="I226" t="str">
        <f>IF(F226="","",IFERROR(VLOOKUP(F226,Sales_Tax_Settings!$A$15:$B$27,2,FALSE),"Tax Unknown"))</f>
        <v/>
      </c>
      <c r="J226" t="str">
        <f t="shared" si="22"/>
        <v/>
      </c>
      <c r="K226" t="str">
        <f>IF(AND(Sales_Tax_Settings!$B$5="Yes",G226="Personal Expense",J226="Taxable"),"Yes","No")</f>
        <v>No</v>
      </c>
      <c r="L226" s="4">
        <f t="shared" si="23"/>
        <v>0</v>
      </c>
      <c r="M226" s="4">
        <f t="shared" si="24"/>
        <v>0</v>
      </c>
      <c r="N226" s="4">
        <f t="shared" si="25"/>
        <v>0</v>
      </c>
      <c r="O226" s="4">
        <f t="shared" si="26"/>
        <v>0</v>
      </c>
      <c r="P226" s="4">
        <f>IF(K226&lt;&gt;"Yes",0,IF(Sales_Tax_Settings!$B$6="Yes",E226/(1+Sales_Tax_Settings!$B$10),E226))</f>
        <v>0</v>
      </c>
      <c r="Q226" s="4">
        <f>IF(K226&lt;&gt;"Yes",0,P226*Sales_Tax_Settings!$B$8)</f>
        <v>0</v>
      </c>
      <c r="R226" s="4">
        <f>IF(K226&lt;&gt;"Yes",0,P226*Sales_Tax_Settings!$B$9)</f>
        <v>0</v>
      </c>
      <c r="S226" s="4">
        <f t="shared" si="27"/>
        <v>0</v>
      </c>
    </row>
    <row r="227" spans="1:19" x14ac:dyDescent="0.3">
      <c r="A227" t="str">
        <f>IF(Expense_Input!A227="","",Expense_Input!A227)</f>
        <v/>
      </c>
      <c r="B227" t="str">
        <f>IF(Expense_Input!B227="","",Expense_Input!B227)</f>
        <v/>
      </c>
      <c r="C227" t="str">
        <f t="shared" si="21"/>
        <v/>
      </c>
      <c r="D227" t="str">
        <f>IF(Expense_Input!C227="","",Expense_Input!C227)</f>
        <v/>
      </c>
      <c r="E227" s="4" t="str">
        <f>IF(Expense_Input!D227="","",Expense_Input!D227)</f>
        <v/>
      </c>
      <c r="F227" t="str">
        <f>IF(Expense_Input!E227="","",Expense_Input!E227)</f>
        <v/>
      </c>
      <c r="G227" t="str">
        <f>IF(Expense_Input!H227="","",Expense_Input!H227)</f>
        <v/>
      </c>
      <c r="H227" t="str">
        <f>IF(Expense_Input!I227="","Auto",Expense_Input!I227)</f>
        <v>Auto</v>
      </c>
      <c r="I227" t="str">
        <f>IF(F227="","",IFERROR(VLOOKUP(F227,Sales_Tax_Settings!$A$15:$B$27,2,FALSE),"Tax Unknown"))</f>
        <v/>
      </c>
      <c r="J227" t="str">
        <f t="shared" si="22"/>
        <v/>
      </c>
      <c r="K227" t="str">
        <f>IF(AND(Sales_Tax_Settings!$B$5="Yes",G227="Personal Expense",J227="Taxable"),"Yes","No")</f>
        <v>No</v>
      </c>
      <c r="L227" s="4">
        <f t="shared" si="23"/>
        <v>0</v>
      </c>
      <c r="M227" s="4">
        <f t="shared" si="24"/>
        <v>0</v>
      </c>
      <c r="N227" s="4">
        <f t="shared" si="25"/>
        <v>0</v>
      </c>
      <c r="O227" s="4">
        <f t="shared" si="26"/>
        <v>0</v>
      </c>
      <c r="P227" s="4">
        <f>IF(K227&lt;&gt;"Yes",0,IF(Sales_Tax_Settings!$B$6="Yes",E227/(1+Sales_Tax_Settings!$B$10),E227))</f>
        <v>0</v>
      </c>
      <c r="Q227" s="4">
        <f>IF(K227&lt;&gt;"Yes",0,P227*Sales_Tax_Settings!$B$8)</f>
        <v>0</v>
      </c>
      <c r="R227" s="4">
        <f>IF(K227&lt;&gt;"Yes",0,P227*Sales_Tax_Settings!$B$9)</f>
        <v>0</v>
      </c>
      <c r="S227" s="4">
        <f t="shared" si="27"/>
        <v>0</v>
      </c>
    </row>
    <row r="228" spans="1:19" x14ac:dyDescent="0.3">
      <c r="A228" t="str">
        <f>IF(Expense_Input!A228="","",Expense_Input!A228)</f>
        <v/>
      </c>
      <c r="B228" t="str">
        <f>IF(Expense_Input!B228="","",Expense_Input!B228)</f>
        <v/>
      </c>
      <c r="C228" t="str">
        <f t="shared" si="21"/>
        <v/>
      </c>
      <c r="D228" t="str">
        <f>IF(Expense_Input!C228="","",Expense_Input!C228)</f>
        <v/>
      </c>
      <c r="E228" s="4" t="str">
        <f>IF(Expense_Input!D228="","",Expense_Input!D228)</f>
        <v/>
      </c>
      <c r="F228" t="str">
        <f>IF(Expense_Input!E228="","",Expense_Input!E228)</f>
        <v/>
      </c>
      <c r="G228" t="str">
        <f>IF(Expense_Input!H228="","",Expense_Input!H228)</f>
        <v/>
      </c>
      <c r="H228" t="str">
        <f>IF(Expense_Input!I228="","Auto",Expense_Input!I228)</f>
        <v>Auto</v>
      </c>
      <c r="I228" t="str">
        <f>IF(F228="","",IFERROR(VLOOKUP(F228,Sales_Tax_Settings!$A$15:$B$27,2,FALSE),"Tax Unknown"))</f>
        <v/>
      </c>
      <c r="J228" t="str">
        <f t="shared" si="22"/>
        <v/>
      </c>
      <c r="K228" t="str">
        <f>IF(AND(Sales_Tax_Settings!$B$5="Yes",G228="Personal Expense",J228="Taxable"),"Yes","No")</f>
        <v>No</v>
      </c>
      <c r="L228" s="4">
        <f t="shared" si="23"/>
        <v>0</v>
      </c>
      <c r="M228" s="4">
        <f t="shared" si="24"/>
        <v>0</v>
      </c>
      <c r="N228" s="4">
        <f t="shared" si="25"/>
        <v>0</v>
      </c>
      <c r="O228" s="4">
        <f t="shared" si="26"/>
        <v>0</v>
      </c>
      <c r="P228" s="4">
        <f>IF(K228&lt;&gt;"Yes",0,IF(Sales_Tax_Settings!$B$6="Yes",E228/(1+Sales_Tax_Settings!$B$10),E228))</f>
        <v>0</v>
      </c>
      <c r="Q228" s="4">
        <f>IF(K228&lt;&gt;"Yes",0,P228*Sales_Tax_Settings!$B$8)</f>
        <v>0</v>
      </c>
      <c r="R228" s="4">
        <f>IF(K228&lt;&gt;"Yes",0,P228*Sales_Tax_Settings!$B$9)</f>
        <v>0</v>
      </c>
      <c r="S228" s="4">
        <f t="shared" si="27"/>
        <v>0</v>
      </c>
    </row>
    <row r="229" spans="1:19" x14ac:dyDescent="0.3">
      <c r="A229" t="str">
        <f>IF(Expense_Input!A229="","",Expense_Input!A229)</f>
        <v/>
      </c>
      <c r="B229" t="str">
        <f>IF(Expense_Input!B229="","",Expense_Input!B229)</f>
        <v/>
      </c>
      <c r="C229" t="str">
        <f t="shared" si="21"/>
        <v/>
      </c>
      <c r="D229" t="str">
        <f>IF(Expense_Input!C229="","",Expense_Input!C229)</f>
        <v/>
      </c>
      <c r="E229" s="4" t="str">
        <f>IF(Expense_Input!D229="","",Expense_Input!D229)</f>
        <v/>
      </c>
      <c r="F229" t="str">
        <f>IF(Expense_Input!E229="","",Expense_Input!E229)</f>
        <v/>
      </c>
      <c r="G229" t="str">
        <f>IF(Expense_Input!H229="","",Expense_Input!H229)</f>
        <v/>
      </c>
      <c r="H229" t="str">
        <f>IF(Expense_Input!I229="","Auto",Expense_Input!I229)</f>
        <v>Auto</v>
      </c>
      <c r="I229" t="str">
        <f>IF(F229="","",IFERROR(VLOOKUP(F229,Sales_Tax_Settings!$A$15:$B$27,2,FALSE),"Tax Unknown"))</f>
        <v/>
      </c>
      <c r="J229" t="str">
        <f t="shared" si="22"/>
        <v/>
      </c>
      <c r="K229" t="str">
        <f>IF(AND(Sales_Tax_Settings!$B$5="Yes",G229="Personal Expense",J229="Taxable"),"Yes","No")</f>
        <v>No</v>
      </c>
      <c r="L229" s="4">
        <f t="shared" si="23"/>
        <v>0</v>
      </c>
      <c r="M229" s="4">
        <f t="shared" si="24"/>
        <v>0</v>
      </c>
      <c r="N229" s="4">
        <f t="shared" si="25"/>
        <v>0</v>
      </c>
      <c r="O229" s="4">
        <f t="shared" si="26"/>
        <v>0</v>
      </c>
      <c r="P229" s="4">
        <f>IF(K229&lt;&gt;"Yes",0,IF(Sales_Tax_Settings!$B$6="Yes",E229/(1+Sales_Tax_Settings!$B$10),E229))</f>
        <v>0</v>
      </c>
      <c r="Q229" s="4">
        <f>IF(K229&lt;&gt;"Yes",0,P229*Sales_Tax_Settings!$B$8)</f>
        <v>0</v>
      </c>
      <c r="R229" s="4">
        <f>IF(K229&lt;&gt;"Yes",0,P229*Sales_Tax_Settings!$B$9)</f>
        <v>0</v>
      </c>
      <c r="S229" s="4">
        <f t="shared" si="27"/>
        <v>0</v>
      </c>
    </row>
    <row r="230" spans="1:19" x14ac:dyDescent="0.3">
      <c r="A230" t="str">
        <f>IF(Expense_Input!A230="","",Expense_Input!A230)</f>
        <v/>
      </c>
      <c r="B230" t="str">
        <f>IF(Expense_Input!B230="","",Expense_Input!B230)</f>
        <v/>
      </c>
      <c r="C230" t="str">
        <f t="shared" si="21"/>
        <v/>
      </c>
      <c r="D230" t="str">
        <f>IF(Expense_Input!C230="","",Expense_Input!C230)</f>
        <v/>
      </c>
      <c r="E230" s="4" t="str">
        <f>IF(Expense_Input!D230="","",Expense_Input!D230)</f>
        <v/>
      </c>
      <c r="F230" t="str">
        <f>IF(Expense_Input!E230="","",Expense_Input!E230)</f>
        <v/>
      </c>
      <c r="G230" t="str">
        <f>IF(Expense_Input!H230="","",Expense_Input!H230)</f>
        <v/>
      </c>
      <c r="H230" t="str">
        <f>IF(Expense_Input!I230="","Auto",Expense_Input!I230)</f>
        <v>Auto</v>
      </c>
      <c r="I230" t="str">
        <f>IF(F230="","",IFERROR(VLOOKUP(F230,Sales_Tax_Settings!$A$15:$B$27,2,FALSE),"Tax Unknown"))</f>
        <v/>
      </c>
      <c r="J230" t="str">
        <f t="shared" si="22"/>
        <v/>
      </c>
      <c r="K230" t="str">
        <f>IF(AND(Sales_Tax_Settings!$B$5="Yes",G230="Personal Expense",J230="Taxable"),"Yes","No")</f>
        <v>No</v>
      </c>
      <c r="L230" s="4">
        <f t="shared" si="23"/>
        <v>0</v>
      </c>
      <c r="M230" s="4">
        <f t="shared" si="24"/>
        <v>0</v>
      </c>
      <c r="N230" s="4">
        <f t="shared" si="25"/>
        <v>0</v>
      </c>
      <c r="O230" s="4">
        <f t="shared" si="26"/>
        <v>0</v>
      </c>
      <c r="P230" s="4">
        <f>IF(K230&lt;&gt;"Yes",0,IF(Sales_Tax_Settings!$B$6="Yes",E230/(1+Sales_Tax_Settings!$B$10),E230))</f>
        <v>0</v>
      </c>
      <c r="Q230" s="4">
        <f>IF(K230&lt;&gt;"Yes",0,P230*Sales_Tax_Settings!$B$8)</f>
        <v>0</v>
      </c>
      <c r="R230" s="4">
        <f>IF(K230&lt;&gt;"Yes",0,P230*Sales_Tax_Settings!$B$9)</f>
        <v>0</v>
      </c>
      <c r="S230" s="4">
        <f t="shared" si="27"/>
        <v>0</v>
      </c>
    </row>
    <row r="231" spans="1:19" x14ac:dyDescent="0.3">
      <c r="A231" t="str">
        <f>IF(Expense_Input!A231="","",Expense_Input!A231)</f>
        <v/>
      </c>
      <c r="B231" t="str">
        <f>IF(Expense_Input!B231="","",Expense_Input!B231)</f>
        <v/>
      </c>
      <c r="C231" t="str">
        <f t="shared" si="21"/>
        <v/>
      </c>
      <c r="D231" t="str">
        <f>IF(Expense_Input!C231="","",Expense_Input!C231)</f>
        <v/>
      </c>
      <c r="E231" s="4" t="str">
        <f>IF(Expense_Input!D231="","",Expense_Input!D231)</f>
        <v/>
      </c>
      <c r="F231" t="str">
        <f>IF(Expense_Input!E231="","",Expense_Input!E231)</f>
        <v/>
      </c>
      <c r="G231" t="str">
        <f>IF(Expense_Input!H231="","",Expense_Input!H231)</f>
        <v/>
      </c>
      <c r="H231" t="str">
        <f>IF(Expense_Input!I231="","Auto",Expense_Input!I231)</f>
        <v>Auto</v>
      </c>
      <c r="I231" t="str">
        <f>IF(F231="","",IFERROR(VLOOKUP(F231,Sales_Tax_Settings!$A$15:$B$27,2,FALSE),"Tax Unknown"))</f>
        <v/>
      </c>
      <c r="J231" t="str">
        <f t="shared" si="22"/>
        <v/>
      </c>
      <c r="K231" t="str">
        <f>IF(AND(Sales_Tax_Settings!$B$5="Yes",G231="Personal Expense",J231="Taxable"),"Yes","No")</f>
        <v>No</v>
      </c>
      <c r="L231" s="4">
        <f t="shared" si="23"/>
        <v>0</v>
      </c>
      <c r="M231" s="4">
        <f t="shared" si="24"/>
        <v>0</v>
      </c>
      <c r="N231" s="4">
        <f t="shared" si="25"/>
        <v>0</v>
      </c>
      <c r="O231" s="4">
        <f t="shared" si="26"/>
        <v>0</v>
      </c>
      <c r="P231" s="4">
        <f>IF(K231&lt;&gt;"Yes",0,IF(Sales_Tax_Settings!$B$6="Yes",E231/(1+Sales_Tax_Settings!$B$10),E231))</f>
        <v>0</v>
      </c>
      <c r="Q231" s="4">
        <f>IF(K231&lt;&gt;"Yes",0,P231*Sales_Tax_Settings!$B$8)</f>
        <v>0</v>
      </c>
      <c r="R231" s="4">
        <f>IF(K231&lt;&gt;"Yes",0,P231*Sales_Tax_Settings!$B$9)</f>
        <v>0</v>
      </c>
      <c r="S231" s="4">
        <f t="shared" si="27"/>
        <v>0</v>
      </c>
    </row>
    <row r="232" spans="1:19" x14ac:dyDescent="0.3">
      <c r="A232" t="str">
        <f>IF(Expense_Input!A232="","",Expense_Input!A232)</f>
        <v/>
      </c>
      <c r="B232" t="str">
        <f>IF(Expense_Input!B232="","",Expense_Input!B232)</f>
        <v/>
      </c>
      <c r="C232" t="str">
        <f t="shared" si="21"/>
        <v/>
      </c>
      <c r="D232" t="str">
        <f>IF(Expense_Input!C232="","",Expense_Input!C232)</f>
        <v/>
      </c>
      <c r="E232" s="4" t="str">
        <f>IF(Expense_Input!D232="","",Expense_Input!D232)</f>
        <v/>
      </c>
      <c r="F232" t="str">
        <f>IF(Expense_Input!E232="","",Expense_Input!E232)</f>
        <v/>
      </c>
      <c r="G232" t="str">
        <f>IF(Expense_Input!H232="","",Expense_Input!H232)</f>
        <v/>
      </c>
      <c r="H232" t="str">
        <f>IF(Expense_Input!I232="","Auto",Expense_Input!I232)</f>
        <v>Auto</v>
      </c>
      <c r="I232" t="str">
        <f>IF(F232="","",IFERROR(VLOOKUP(F232,Sales_Tax_Settings!$A$15:$B$27,2,FALSE),"Tax Unknown"))</f>
        <v/>
      </c>
      <c r="J232" t="str">
        <f t="shared" si="22"/>
        <v/>
      </c>
      <c r="K232" t="str">
        <f>IF(AND(Sales_Tax_Settings!$B$5="Yes",G232="Personal Expense",J232="Taxable"),"Yes","No")</f>
        <v>No</v>
      </c>
      <c r="L232" s="4">
        <f t="shared" si="23"/>
        <v>0</v>
      </c>
      <c r="M232" s="4">
        <f t="shared" si="24"/>
        <v>0</v>
      </c>
      <c r="N232" s="4">
        <f t="shared" si="25"/>
        <v>0</v>
      </c>
      <c r="O232" s="4">
        <f t="shared" si="26"/>
        <v>0</v>
      </c>
      <c r="P232" s="4">
        <f>IF(K232&lt;&gt;"Yes",0,IF(Sales_Tax_Settings!$B$6="Yes",E232/(1+Sales_Tax_Settings!$B$10),E232))</f>
        <v>0</v>
      </c>
      <c r="Q232" s="4">
        <f>IF(K232&lt;&gt;"Yes",0,P232*Sales_Tax_Settings!$B$8)</f>
        <v>0</v>
      </c>
      <c r="R232" s="4">
        <f>IF(K232&lt;&gt;"Yes",0,P232*Sales_Tax_Settings!$B$9)</f>
        <v>0</v>
      </c>
      <c r="S232" s="4">
        <f t="shared" si="27"/>
        <v>0</v>
      </c>
    </row>
    <row r="233" spans="1:19" x14ac:dyDescent="0.3">
      <c r="A233" t="str">
        <f>IF(Expense_Input!A233="","",Expense_Input!A233)</f>
        <v/>
      </c>
      <c r="B233" t="str">
        <f>IF(Expense_Input!B233="","",Expense_Input!B233)</f>
        <v/>
      </c>
      <c r="C233" t="str">
        <f t="shared" si="21"/>
        <v/>
      </c>
      <c r="D233" t="str">
        <f>IF(Expense_Input!C233="","",Expense_Input!C233)</f>
        <v/>
      </c>
      <c r="E233" s="4" t="str">
        <f>IF(Expense_Input!D233="","",Expense_Input!D233)</f>
        <v/>
      </c>
      <c r="F233" t="str">
        <f>IF(Expense_Input!E233="","",Expense_Input!E233)</f>
        <v/>
      </c>
      <c r="G233" t="str">
        <f>IF(Expense_Input!H233="","",Expense_Input!H233)</f>
        <v/>
      </c>
      <c r="H233" t="str">
        <f>IF(Expense_Input!I233="","Auto",Expense_Input!I233)</f>
        <v>Auto</v>
      </c>
      <c r="I233" t="str">
        <f>IF(F233="","",IFERROR(VLOOKUP(F233,Sales_Tax_Settings!$A$15:$B$27,2,FALSE),"Tax Unknown"))</f>
        <v/>
      </c>
      <c r="J233" t="str">
        <f t="shared" si="22"/>
        <v/>
      </c>
      <c r="K233" t="str">
        <f>IF(AND(Sales_Tax_Settings!$B$5="Yes",G233="Personal Expense",J233="Taxable"),"Yes","No")</f>
        <v>No</v>
      </c>
      <c r="L233" s="4">
        <f t="shared" si="23"/>
        <v>0</v>
      </c>
      <c r="M233" s="4">
        <f t="shared" si="24"/>
        <v>0</v>
      </c>
      <c r="N233" s="4">
        <f t="shared" si="25"/>
        <v>0</v>
      </c>
      <c r="O233" s="4">
        <f t="shared" si="26"/>
        <v>0</v>
      </c>
      <c r="P233" s="4">
        <f>IF(K233&lt;&gt;"Yes",0,IF(Sales_Tax_Settings!$B$6="Yes",E233/(1+Sales_Tax_Settings!$B$10),E233))</f>
        <v>0</v>
      </c>
      <c r="Q233" s="4">
        <f>IF(K233&lt;&gt;"Yes",0,P233*Sales_Tax_Settings!$B$8)</f>
        <v>0</v>
      </c>
      <c r="R233" s="4">
        <f>IF(K233&lt;&gt;"Yes",0,P233*Sales_Tax_Settings!$B$9)</f>
        <v>0</v>
      </c>
      <c r="S233" s="4">
        <f t="shared" si="27"/>
        <v>0</v>
      </c>
    </row>
    <row r="234" spans="1:19" x14ac:dyDescent="0.3">
      <c r="A234" t="str">
        <f>IF(Expense_Input!A234="","",Expense_Input!A234)</f>
        <v/>
      </c>
      <c r="B234" t="str">
        <f>IF(Expense_Input!B234="","",Expense_Input!B234)</f>
        <v/>
      </c>
      <c r="C234" t="str">
        <f t="shared" si="21"/>
        <v/>
      </c>
      <c r="D234" t="str">
        <f>IF(Expense_Input!C234="","",Expense_Input!C234)</f>
        <v/>
      </c>
      <c r="E234" s="4" t="str">
        <f>IF(Expense_Input!D234="","",Expense_Input!D234)</f>
        <v/>
      </c>
      <c r="F234" t="str">
        <f>IF(Expense_Input!E234="","",Expense_Input!E234)</f>
        <v/>
      </c>
      <c r="G234" t="str">
        <f>IF(Expense_Input!H234="","",Expense_Input!H234)</f>
        <v/>
      </c>
      <c r="H234" t="str">
        <f>IF(Expense_Input!I234="","Auto",Expense_Input!I234)</f>
        <v>Auto</v>
      </c>
      <c r="I234" t="str">
        <f>IF(F234="","",IFERROR(VLOOKUP(F234,Sales_Tax_Settings!$A$15:$B$27,2,FALSE),"Tax Unknown"))</f>
        <v/>
      </c>
      <c r="J234" t="str">
        <f t="shared" si="22"/>
        <v/>
      </c>
      <c r="K234" t="str">
        <f>IF(AND(Sales_Tax_Settings!$B$5="Yes",G234="Personal Expense",J234="Taxable"),"Yes","No")</f>
        <v>No</v>
      </c>
      <c r="L234" s="4">
        <f t="shared" si="23"/>
        <v>0</v>
      </c>
      <c r="M234" s="4">
        <f t="shared" si="24"/>
        <v>0</v>
      </c>
      <c r="N234" s="4">
        <f t="shared" si="25"/>
        <v>0</v>
      </c>
      <c r="O234" s="4">
        <f t="shared" si="26"/>
        <v>0</v>
      </c>
      <c r="P234" s="4">
        <f>IF(K234&lt;&gt;"Yes",0,IF(Sales_Tax_Settings!$B$6="Yes",E234/(1+Sales_Tax_Settings!$B$10),E234))</f>
        <v>0</v>
      </c>
      <c r="Q234" s="4">
        <f>IF(K234&lt;&gt;"Yes",0,P234*Sales_Tax_Settings!$B$8)</f>
        <v>0</v>
      </c>
      <c r="R234" s="4">
        <f>IF(K234&lt;&gt;"Yes",0,P234*Sales_Tax_Settings!$B$9)</f>
        <v>0</v>
      </c>
      <c r="S234" s="4">
        <f t="shared" si="27"/>
        <v>0</v>
      </c>
    </row>
    <row r="235" spans="1:19" x14ac:dyDescent="0.3">
      <c r="A235" t="str">
        <f>IF(Expense_Input!A235="","",Expense_Input!A235)</f>
        <v/>
      </c>
      <c r="B235" t="str">
        <f>IF(Expense_Input!B235="","",Expense_Input!B235)</f>
        <v/>
      </c>
      <c r="C235" t="str">
        <f t="shared" si="21"/>
        <v/>
      </c>
      <c r="D235" t="str">
        <f>IF(Expense_Input!C235="","",Expense_Input!C235)</f>
        <v/>
      </c>
      <c r="E235" s="4" t="str">
        <f>IF(Expense_Input!D235="","",Expense_Input!D235)</f>
        <v/>
      </c>
      <c r="F235" t="str">
        <f>IF(Expense_Input!E235="","",Expense_Input!E235)</f>
        <v/>
      </c>
      <c r="G235" t="str">
        <f>IF(Expense_Input!H235="","",Expense_Input!H235)</f>
        <v/>
      </c>
      <c r="H235" t="str">
        <f>IF(Expense_Input!I235="","Auto",Expense_Input!I235)</f>
        <v>Auto</v>
      </c>
      <c r="I235" t="str">
        <f>IF(F235="","",IFERROR(VLOOKUP(F235,Sales_Tax_Settings!$A$15:$B$27,2,FALSE),"Tax Unknown"))</f>
        <v/>
      </c>
      <c r="J235" t="str">
        <f t="shared" si="22"/>
        <v/>
      </c>
      <c r="K235" t="str">
        <f>IF(AND(Sales_Tax_Settings!$B$5="Yes",G235="Personal Expense",J235="Taxable"),"Yes","No")</f>
        <v>No</v>
      </c>
      <c r="L235" s="4">
        <f t="shared" si="23"/>
        <v>0</v>
      </c>
      <c r="M235" s="4">
        <f t="shared" si="24"/>
        <v>0</v>
      </c>
      <c r="N235" s="4">
        <f t="shared" si="25"/>
        <v>0</v>
      </c>
      <c r="O235" s="4">
        <f t="shared" si="26"/>
        <v>0</v>
      </c>
      <c r="P235" s="4">
        <f>IF(K235&lt;&gt;"Yes",0,IF(Sales_Tax_Settings!$B$6="Yes",E235/(1+Sales_Tax_Settings!$B$10),E235))</f>
        <v>0</v>
      </c>
      <c r="Q235" s="4">
        <f>IF(K235&lt;&gt;"Yes",0,P235*Sales_Tax_Settings!$B$8)</f>
        <v>0</v>
      </c>
      <c r="R235" s="4">
        <f>IF(K235&lt;&gt;"Yes",0,P235*Sales_Tax_Settings!$B$9)</f>
        <v>0</v>
      </c>
      <c r="S235" s="4">
        <f t="shared" si="27"/>
        <v>0</v>
      </c>
    </row>
    <row r="236" spans="1:19" x14ac:dyDescent="0.3">
      <c r="A236" t="str">
        <f>IF(Expense_Input!A236="","",Expense_Input!A236)</f>
        <v/>
      </c>
      <c r="B236" t="str">
        <f>IF(Expense_Input!B236="","",Expense_Input!B236)</f>
        <v/>
      </c>
      <c r="C236" t="str">
        <f t="shared" si="21"/>
        <v/>
      </c>
      <c r="D236" t="str">
        <f>IF(Expense_Input!C236="","",Expense_Input!C236)</f>
        <v/>
      </c>
      <c r="E236" s="4" t="str">
        <f>IF(Expense_Input!D236="","",Expense_Input!D236)</f>
        <v/>
      </c>
      <c r="F236" t="str">
        <f>IF(Expense_Input!E236="","",Expense_Input!E236)</f>
        <v/>
      </c>
      <c r="G236" t="str">
        <f>IF(Expense_Input!H236="","",Expense_Input!H236)</f>
        <v/>
      </c>
      <c r="H236" t="str">
        <f>IF(Expense_Input!I236="","Auto",Expense_Input!I236)</f>
        <v>Auto</v>
      </c>
      <c r="I236" t="str">
        <f>IF(F236="","",IFERROR(VLOOKUP(F236,Sales_Tax_Settings!$A$15:$B$27,2,FALSE),"Tax Unknown"))</f>
        <v/>
      </c>
      <c r="J236" t="str">
        <f t="shared" si="22"/>
        <v/>
      </c>
      <c r="K236" t="str">
        <f>IF(AND(Sales_Tax_Settings!$B$5="Yes",G236="Personal Expense",J236="Taxable"),"Yes","No")</f>
        <v>No</v>
      </c>
      <c r="L236" s="4">
        <f t="shared" si="23"/>
        <v>0</v>
      </c>
      <c r="M236" s="4">
        <f t="shared" si="24"/>
        <v>0</v>
      </c>
      <c r="N236" s="4">
        <f t="shared" si="25"/>
        <v>0</v>
      </c>
      <c r="O236" s="4">
        <f t="shared" si="26"/>
        <v>0</v>
      </c>
      <c r="P236" s="4">
        <f>IF(K236&lt;&gt;"Yes",0,IF(Sales_Tax_Settings!$B$6="Yes",E236/(1+Sales_Tax_Settings!$B$10),E236))</f>
        <v>0</v>
      </c>
      <c r="Q236" s="4">
        <f>IF(K236&lt;&gt;"Yes",0,P236*Sales_Tax_Settings!$B$8)</f>
        <v>0</v>
      </c>
      <c r="R236" s="4">
        <f>IF(K236&lt;&gt;"Yes",0,P236*Sales_Tax_Settings!$B$9)</f>
        <v>0</v>
      </c>
      <c r="S236" s="4">
        <f t="shared" si="27"/>
        <v>0</v>
      </c>
    </row>
    <row r="237" spans="1:19" x14ac:dyDescent="0.3">
      <c r="A237" t="str">
        <f>IF(Expense_Input!A237="","",Expense_Input!A237)</f>
        <v/>
      </c>
      <c r="B237" t="str">
        <f>IF(Expense_Input!B237="","",Expense_Input!B237)</f>
        <v/>
      </c>
      <c r="C237" t="str">
        <f t="shared" si="21"/>
        <v/>
      </c>
      <c r="D237" t="str">
        <f>IF(Expense_Input!C237="","",Expense_Input!C237)</f>
        <v/>
      </c>
      <c r="E237" s="4" t="str">
        <f>IF(Expense_Input!D237="","",Expense_Input!D237)</f>
        <v/>
      </c>
      <c r="F237" t="str">
        <f>IF(Expense_Input!E237="","",Expense_Input!E237)</f>
        <v/>
      </c>
      <c r="G237" t="str">
        <f>IF(Expense_Input!H237="","",Expense_Input!H237)</f>
        <v/>
      </c>
      <c r="H237" t="str">
        <f>IF(Expense_Input!I237="","Auto",Expense_Input!I237)</f>
        <v>Auto</v>
      </c>
      <c r="I237" t="str">
        <f>IF(F237="","",IFERROR(VLOOKUP(F237,Sales_Tax_Settings!$A$15:$B$27,2,FALSE),"Tax Unknown"))</f>
        <v/>
      </c>
      <c r="J237" t="str">
        <f t="shared" si="22"/>
        <v/>
      </c>
      <c r="K237" t="str">
        <f>IF(AND(Sales_Tax_Settings!$B$5="Yes",G237="Personal Expense",J237="Taxable"),"Yes","No")</f>
        <v>No</v>
      </c>
      <c r="L237" s="4">
        <f t="shared" si="23"/>
        <v>0</v>
      </c>
      <c r="M237" s="4">
        <f t="shared" si="24"/>
        <v>0</v>
      </c>
      <c r="N237" s="4">
        <f t="shared" si="25"/>
        <v>0</v>
      </c>
      <c r="O237" s="4">
        <f t="shared" si="26"/>
        <v>0</v>
      </c>
      <c r="P237" s="4">
        <f>IF(K237&lt;&gt;"Yes",0,IF(Sales_Tax_Settings!$B$6="Yes",E237/(1+Sales_Tax_Settings!$B$10),E237))</f>
        <v>0</v>
      </c>
      <c r="Q237" s="4">
        <f>IF(K237&lt;&gt;"Yes",0,P237*Sales_Tax_Settings!$B$8)</f>
        <v>0</v>
      </c>
      <c r="R237" s="4">
        <f>IF(K237&lt;&gt;"Yes",0,P237*Sales_Tax_Settings!$B$9)</f>
        <v>0</v>
      </c>
      <c r="S237" s="4">
        <f t="shared" si="27"/>
        <v>0</v>
      </c>
    </row>
    <row r="238" spans="1:19" x14ac:dyDescent="0.3">
      <c r="A238" t="str">
        <f>IF(Expense_Input!A238="","",Expense_Input!A238)</f>
        <v/>
      </c>
      <c r="B238" t="str">
        <f>IF(Expense_Input!B238="","",Expense_Input!B238)</f>
        <v/>
      </c>
      <c r="C238" t="str">
        <f t="shared" si="21"/>
        <v/>
      </c>
      <c r="D238" t="str">
        <f>IF(Expense_Input!C238="","",Expense_Input!C238)</f>
        <v/>
      </c>
      <c r="E238" s="4" t="str">
        <f>IF(Expense_Input!D238="","",Expense_Input!D238)</f>
        <v/>
      </c>
      <c r="F238" t="str">
        <f>IF(Expense_Input!E238="","",Expense_Input!E238)</f>
        <v/>
      </c>
      <c r="G238" t="str">
        <f>IF(Expense_Input!H238="","",Expense_Input!H238)</f>
        <v/>
      </c>
      <c r="H238" t="str">
        <f>IF(Expense_Input!I238="","Auto",Expense_Input!I238)</f>
        <v>Auto</v>
      </c>
      <c r="I238" t="str">
        <f>IF(F238="","",IFERROR(VLOOKUP(F238,Sales_Tax_Settings!$A$15:$B$27,2,FALSE),"Tax Unknown"))</f>
        <v/>
      </c>
      <c r="J238" t="str">
        <f t="shared" si="22"/>
        <v/>
      </c>
      <c r="K238" t="str">
        <f>IF(AND(Sales_Tax_Settings!$B$5="Yes",G238="Personal Expense",J238="Taxable"),"Yes","No")</f>
        <v>No</v>
      </c>
      <c r="L238" s="4">
        <f t="shared" si="23"/>
        <v>0</v>
      </c>
      <c r="M238" s="4">
        <f t="shared" si="24"/>
        <v>0</v>
      </c>
      <c r="N238" s="4">
        <f t="shared" si="25"/>
        <v>0</v>
      </c>
      <c r="O238" s="4">
        <f t="shared" si="26"/>
        <v>0</v>
      </c>
      <c r="P238" s="4">
        <f>IF(K238&lt;&gt;"Yes",0,IF(Sales_Tax_Settings!$B$6="Yes",E238/(1+Sales_Tax_Settings!$B$10),E238))</f>
        <v>0</v>
      </c>
      <c r="Q238" s="4">
        <f>IF(K238&lt;&gt;"Yes",0,P238*Sales_Tax_Settings!$B$8)</f>
        <v>0</v>
      </c>
      <c r="R238" s="4">
        <f>IF(K238&lt;&gt;"Yes",0,P238*Sales_Tax_Settings!$B$9)</f>
        <v>0</v>
      </c>
      <c r="S238" s="4">
        <f t="shared" si="27"/>
        <v>0</v>
      </c>
    </row>
    <row r="239" spans="1:19" x14ac:dyDescent="0.3">
      <c r="A239" t="str">
        <f>IF(Expense_Input!A239="","",Expense_Input!A239)</f>
        <v/>
      </c>
      <c r="B239" t="str">
        <f>IF(Expense_Input!B239="","",Expense_Input!B239)</f>
        <v/>
      </c>
      <c r="C239" t="str">
        <f t="shared" si="21"/>
        <v/>
      </c>
      <c r="D239" t="str">
        <f>IF(Expense_Input!C239="","",Expense_Input!C239)</f>
        <v/>
      </c>
      <c r="E239" s="4" t="str">
        <f>IF(Expense_Input!D239="","",Expense_Input!D239)</f>
        <v/>
      </c>
      <c r="F239" t="str">
        <f>IF(Expense_Input!E239="","",Expense_Input!E239)</f>
        <v/>
      </c>
      <c r="G239" t="str">
        <f>IF(Expense_Input!H239="","",Expense_Input!H239)</f>
        <v/>
      </c>
      <c r="H239" t="str">
        <f>IF(Expense_Input!I239="","Auto",Expense_Input!I239)</f>
        <v>Auto</v>
      </c>
      <c r="I239" t="str">
        <f>IF(F239="","",IFERROR(VLOOKUP(F239,Sales_Tax_Settings!$A$15:$B$27,2,FALSE),"Tax Unknown"))</f>
        <v/>
      </c>
      <c r="J239" t="str">
        <f t="shared" si="22"/>
        <v/>
      </c>
      <c r="K239" t="str">
        <f>IF(AND(Sales_Tax_Settings!$B$5="Yes",G239="Personal Expense",J239="Taxable"),"Yes","No")</f>
        <v>No</v>
      </c>
      <c r="L239" s="4">
        <f t="shared" si="23"/>
        <v>0</v>
      </c>
      <c r="M239" s="4">
        <f t="shared" si="24"/>
        <v>0</v>
      </c>
      <c r="N239" s="4">
        <f t="shared" si="25"/>
        <v>0</v>
      </c>
      <c r="O239" s="4">
        <f t="shared" si="26"/>
        <v>0</v>
      </c>
      <c r="P239" s="4">
        <f>IF(K239&lt;&gt;"Yes",0,IF(Sales_Tax_Settings!$B$6="Yes",E239/(1+Sales_Tax_Settings!$B$10),E239))</f>
        <v>0</v>
      </c>
      <c r="Q239" s="4">
        <f>IF(K239&lt;&gt;"Yes",0,P239*Sales_Tax_Settings!$B$8)</f>
        <v>0</v>
      </c>
      <c r="R239" s="4">
        <f>IF(K239&lt;&gt;"Yes",0,P239*Sales_Tax_Settings!$B$9)</f>
        <v>0</v>
      </c>
      <c r="S239" s="4">
        <f t="shared" si="27"/>
        <v>0</v>
      </c>
    </row>
    <row r="240" spans="1:19" x14ac:dyDescent="0.3">
      <c r="A240" t="str">
        <f>IF(Expense_Input!A240="","",Expense_Input!A240)</f>
        <v/>
      </c>
      <c r="B240" t="str">
        <f>IF(Expense_Input!B240="","",Expense_Input!B240)</f>
        <v/>
      </c>
      <c r="C240" t="str">
        <f t="shared" si="21"/>
        <v/>
      </c>
      <c r="D240" t="str">
        <f>IF(Expense_Input!C240="","",Expense_Input!C240)</f>
        <v/>
      </c>
      <c r="E240" s="4" t="str">
        <f>IF(Expense_Input!D240="","",Expense_Input!D240)</f>
        <v/>
      </c>
      <c r="F240" t="str">
        <f>IF(Expense_Input!E240="","",Expense_Input!E240)</f>
        <v/>
      </c>
      <c r="G240" t="str">
        <f>IF(Expense_Input!H240="","",Expense_Input!H240)</f>
        <v/>
      </c>
      <c r="H240" t="str">
        <f>IF(Expense_Input!I240="","Auto",Expense_Input!I240)</f>
        <v>Auto</v>
      </c>
      <c r="I240" t="str">
        <f>IF(F240="","",IFERROR(VLOOKUP(F240,Sales_Tax_Settings!$A$15:$B$27,2,FALSE),"Tax Unknown"))</f>
        <v/>
      </c>
      <c r="J240" t="str">
        <f t="shared" si="22"/>
        <v/>
      </c>
      <c r="K240" t="str">
        <f>IF(AND(Sales_Tax_Settings!$B$5="Yes",G240="Personal Expense",J240="Taxable"),"Yes","No")</f>
        <v>No</v>
      </c>
      <c r="L240" s="4">
        <f t="shared" si="23"/>
        <v>0</v>
      </c>
      <c r="M240" s="4">
        <f t="shared" si="24"/>
        <v>0</v>
      </c>
      <c r="N240" s="4">
        <f t="shared" si="25"/>
        <v>0</v>
      </c>
      <c r="O240" s="4">
        <f t="shared" si="26"/>
        <v>0</v>
      </c>
      <c r="P240" s="4">
        <f>IF(K240&lt;&gt;"Yes",0,IF(Sales_Tax_Settings!$B$6="Yes",E240/(1+Sales_Tax_Settings!$B$10),E240))</f>
        <v>0</v>
      </c>
      <c r="Q240" s="4">
        <f>IF(K240&lt;&gt;"Yes",0,P240*Sales_Tax_Settings!$B$8)</f>
        <v>0</v>
      </c>
      <c r="R240" s="4">
        <f>IF(K240&lt;&gt;"Yes",0,P240*Sales_Tax_Settings!$B$9)</f>
        <v>0</v>
      </c>
      <c r="S240" s="4">
        <f t="shared" si="27"/>
        <v>0</v>
      </c>
    </row>
    <row r="241" spans="1:19" x14ac:dyDescent="0.3">
      <c r="A241" t="str">
        <f>IF(Expense_Input!A241="","",Expense_Input!A241)</f>
        <v/>
      </c>
      <c r="B241" t="str">
        <f>IF(Expense_Input!B241="","",Expense_Input!B241)</f>
        <v/>
      </c>
      <c r="C241" t="str">
        <f t="shared" si="21"/>
        <v/>
      </c>
      <c r="D241" t="str">
        <f>IF(Expense_Input!C241="","",Expense_Input!C241)</f>
        <v/>
      </c>
      <c r="E241" s="4" t="str">
        <f>IF(Expense_Input!D241="","",Expense_Input!D241)</f>
        <v/>
      </c>
      <c r="F241" t="str">
        <f>IF(Expense_Input!E241="","",Expense_Input!E241)</f>
        <v/>
      </c>
      <c r="G241" t="str">
        <f>IF(Expense_Input!H241="","",Expense_Input!H241)</f>
        <v/>
      </c>
      <c r="H241" t="str">
        <f>IF(Expense_Input!I241="","Auto",Expense_Input!I241)</f>
        <v>Auto</v>
      </c>
      <c r="I241" t="str">
        <f>IF(F241="","",IFERROR(VLOOKUP(F241,Sales_Tax_Settings!$A$15:$B$27,2,FALSE),"Tax Unknown"))</f>
        <v/>
      </c>
      <c r="J241" t="str">
        <f t="shared" si="22"/>
        <v/>
      </c>
      <c r="K241" t="str">
        <f>IF(AND(Sales_Tax_Settings!$B$5="Yes",G241="Personal Expense",J241="Taxable"),"Yes","No")</f>
        <v>No</v>
      </c>
      <c r="L241" s="4">
        <f t="shared" si="23"/>
        <v>0</v>
      </c>
      <c r="M241" s="4">
        <f t="shared" si="24"/>
        <v>0</v>
      </c>
      <c r="N241" s="4">
        <f t="shared" si="25"/>
        <v>0</v>
      </c>
      <c r="O241" s="4">
        <f t="shared" si="26"/>
        <v>0</v>
      </c>
      <c r="P241" s="4">
        <f>IF(K241&lt;&gt;"Yes",0,IF(Sales_Tax_Settings!$B$6="Yes",E241/(1+Sales_Tax_Settings!$B$10),E241))</f>
        <v>0</v>
      </c>
      <c r="Q241" s="4">
        <f>IF(K241&lt;&gt;"Yes",0,P241*Sales_Tax_Settings!$B$8)</f>
        <v>0</v>
      </c>
      <c r="R241" s="4">
        <f>IF(K241&lt;&gt;"Yes",0,P241*Sales_Tax_Settings!$B$9)</f>
        <v>0</v>
      </c>
      <c r="S241" s="4">
        <f t="shared" si="27"/>
        <v>0</v>
      </c>
    </row>
    <row r="242" spans="1:19" x14ac:dyDescent="0.3">
      <c r="A242" t="str">
        <f>IF(Expense_Input!A242="","",Expense_Input!A242)</f>
        <v/>
      </c>
      <c r="B242" t="str">
        <f>IF(Expense_Input!B242="","",Expense_Input!B242)</f>
        <v/>
      </c>
      <c r="C242" t="str">
        <f t="shared" si="21"/>
        <v/>
      </c>
      <c r="D242" t="str">
        <f>IF(Expense_Input!C242="","",Expense_Input!C242)</f>
        <v/>
      </c>
      <c r="E242" s="4" t="str">
        <f>IF(Expense_Input!D242="","",Expense_Input!D242)</f>
        <v/>
      </c>
      <c r="F242" t="str">
        <f>IF(Expense_Input!E242="","",Expense_Input!E242)</f>
        <v/>
      </c>
      <c r="G242" t="str">
        <f>IF(Expense_Input!H242="","",Expense_Input!H242)</f>
        <v/>
      </c>
      <c r="H242" t="str">
        <f>IF(Expense_Input!I242="","Auto",Expense_Input!I242)</f>
        <v>Auto</v>
      </c>
      <c r="I242" t="str">
        <f>IF(F242="","",IFERROR(VLOOKUP(F242,Sales_Tax_Settings!$A$15:$B$27,2,FALSE),"Tax Unknown"))</f>
        <v/>
      </c>
      <c r="J242" t="str">
        <f t="shared" si="22"/>
        <v/>
      </c>
      <c r="K242" t="str">
        <f>IF(AND(Sales_Tax_Settings!$B$5="Yes",G242="Personal Expense",J242="Taxable"),"Yes","No")</f>
        <v>No</v>
      </c>
      <c r="L242" s="4">
        <f t="shared" si="23"/>
        <v>0</v>
      </c>
      <c r="M242" s="4">
        <f t="shared" si="24"/>
        <v>0</v>
      </c>
      <c r="N242" s="4">
        <f t="shared" si="25"/>
        <v>0</v>
      </c>
      <c r="O242" s="4">
        <f t="shared" si="26"/>
        <v>0</v>
      </c>
      <c r="P242" s="4">
        <f>IF(K242&lt;&gt;"Yes",0,IF(Sales_Tax_Settings!$B$6="Yes",E242/(1+Sales_Tax_Settings!$B$10),E242))</f>
        <v>0</v>
      </c>
      <c r="Q242" s="4">
        <f>IF(K242&lt;&gt;"Yes",0,P242*Sales_Tax_Settings!$B$8)</f>
        <v>0</v>
      </c>
      <c r="R242" s="4">
        <f>IF(K242&lt;&gt;"Yes",0,P242*Sales_Tax_Settings!$B$9)</f>
        <v>0</v>
      </c>
      <c r="S242" s="4">
        <f t="shared" si="27"/>
        <v>0</v>
      </c>
    </row>
    <row r="243" spans="1:19" x14ac:dyDescent="0.3">
      <c r="A243" t="str">
        <f>IF(Expense_Input!A243="","",Expense_Input!A243)</f>
        <v/>
      </c>
      <c r="B243" t="str">
        <f>IF(Expense_Input!B243="","",Expense_Input!B243)</f>
        <v/>
      </c>
      <c r="C243" t="str">
        <f t="shared" si="21"/>
        <v/>
      </c>
      <c r="D243" t="str">
        <f>IF(Expense_Input!C243="","",Expense_Input!C243)</f>
        <v/>
      </c>
      <c r="E243" s="4" t="str">
        <f>IF(Expense_Input!D243="","",Expense_Input!D243)</f>
        <v/>
      </c>
      <c r="F243" t="str">
        <f>IF(Expense_Input!E243="","",Expense_Input!E243)</f>
        <v/>
      </c>
      <c r="G243" t="str">
        <f>IF(Expense_Input!H243="","",Expense_Input!H243)</f>
        <v/>
      </c>
      <c r="H243" t="str">
        <f>IF(Expense_Input!I243="","Auto",Expense_Input!I243)</f>
        <v>Auto</v>
      </c>
      <c r="I243" t="str">
        <f>IF(F243="","",IFERROR(VLOOKUP(F243,Sales_Tax_Settings!$A$15:$B$27,2,FALSE),"Tax Unknown"))</f>
        <v/>
      </c>
      <c r="J243" t="str">
        <f t="shared" si="22"/>
        <v/>
      </c>
      <c r="K243" t="str">
        <f>IF(AND(Sales_Tax_Settings!$B$5="Yes",G243="Personal Expense",J243="Taxable"),"Yes","No")</f>
        <v>No</v>
      </c>
      <c r="L243" s="4">
        <f t="shared" si="23"/>
        <v>0</v>
      </c>
      <c r="M243" s="4">
        <f t="shared" si="24"/>
        <v>0</v>
      </c>
      <c r="N243" s="4">
        <f t="shared" si="25"/>
        <v>0</v>
      </c>
      <c r="O243" s="4">
        <f t="shared" si="26"/>
        <v>0</v>
      </c>
      <c r="P243" s="4">
        <f>IF(K243&lt;&gt;"Yes",0,IF(Sales_Tax_Settings!$B$6="Yes",E243/(1+Sales_Tax_Settings!$B$10),E243))</f>
        <v>0</v>
      </c>
      <c r="Q243" s="4">
        <f>IF(K243&lt;&gt;"Yes",0,P243*Sales_Tax_Settings!$B$8)</f>
        <v>0</v>
      </c>
      <c r="R243" s="4">
        <f>IF(K243&lt;&gt;"Yes",0,P243*Sales_Tax_Settings!$B$9)</f>
        <v>0</v>
      </c>
      <c r="S243" s="4">
        <f t="shared" si="27"/>
        <v>0</v>
      </c>
    </row>
    <row r="244" spans="1:19" x14ac:dyDescent="0.3">
      <c r="A244" t="str">
        <f>IF(Expense_Input!A244="","",Expense_Input!A244)</f>
        <v/>
      </c>
      <c r="B244" t="str">
        <f>IF(Expense_Input!B244="","",Expense_Input!B244)</f>
        <v/>
      </c>
      <c r="C244" t="str">
        <f t="shared" si="21"/>
        <v/>
      </c>
      <c r="D244" t="str">
        <f>IF(Expense_Input!C244="","",Expense_Input!C244)</f>
        <v/>
      </c>
      <c r="E244" s="4" t="str">
        <f>IF(Expense_Input!D244="","",Expense_Input!D244)</f>
        <v/>
      </c>
      <c r="F244" t="str">
        <f>IF(Expense_Input!E244="","",Expense_Input!E244)</f>
        <v/>
      </c>
      <c r="G244" t="str">
        <f>IF(Expense_Input!H244="","",Expense_Input!H244)</f>
        <v/>
      </c>
      <c r="H244" t="str">
        <f>IF(Expense_Input!I244="","Auto",Expense_Input!I244)</f>
        <v>Auto</v>
      </c>
      <c r="I244" t="str">
        <f>IF(F244="","",IFERROR(VLOOKUP(F244,Sales_Tax_Settings!$A$15:$B$27,2,FALSE),"Tax Unknown"))</f>
        <v/>
      </c>
      <c r="J244" t="str">
        <f t="shared" si="22"/>
        <v/>
      </c>
      <c r="K244" t="str">
        <f>IF(AND(Sales_Tax_Settings!$B$5="Yes",G244="Personal Expense",J244="Taxable"),"Yes","No")</f>
        <v>No</v>
      </c>
      <c r="L244" s="4">
        <f t="shared" si="23"/>
        <v>0</v>
      </c>
      <c r="M244" s="4">
        <f t="shared" si="24"/>
        <v>0</v>
      </c>
      <c r="N244" s="4">
        <f t="shared" si="25"/>
        <v>0</v>
      </c>
      <c r="O244" s="4">
        <f t="shared" si="26"/>
        <v>0</v>
      </c>
      <c r="P244" s="4">
        <f>IF(K244&lt;&gt;"Yes",0,IF(Sales_Tax_Settings!$B$6="Yes",E244/(1+Sales_Tax_Settings!$B$10),E244))</f>
        <v>0</v>
      </c>
      <c r="Q244" s="4">
        <f>IF(K244&lt;&gt;"Yes",0,P244*Sales_Tax_Settings!$B$8)</f>
        <v>0</v>
      </c>
      <c r="R244" s="4">
        <f>IF(K244&lt;&gt;"Yes",0,P244*Sales_Tax_Settings!$B$9)</f>
        <v>0</v>
      </c>
      <c r="S244" s="4">
        <f t="shared" si="27"/>
        <v>0</v>
      </c>
    </row>
    <row r="245" spans="1:19" x14ac:dyDescent="0.3">
      <c r="A245" t="str">
        <f>IF(Expense_Input!A245="","",Expense_Input!A245)</f>
        <v/>
      </c>
      <c r="B245" t="str">
        <f>IF(Expense_Input!B245="","",Expense_Input!B245)</f>
        <v/>
      </c>
      <c r="C245" t="str">
        <f t="shared" si="21"/>
        <v/>
      </c>
      <c r="D245" t="str">
        <f>IF(Expense_Input!C245="","",Expense_Input!C245)</f>
        <v/>
      </c>
      <c r="E245" s="4" t="str">
        <f>IF(Expense_Input!D245="","",Expense_Input!D245)</f>
        <v/>
      </c>
      <c r="F245" t="str">
        <f>IF(Expense_Input!E245="","",Expense_Input!E245)</f>
        <v/>
      </c>
      <c r="G245" t="str">
        <f>IF(Expense_Input!H245="","",Expense_Input!H245)</f>
        <v/>
      </c>
      <c r="H245" t="str">
        <f>IF(Expense_Input!I245="","Auto",Expense_Input!I245)</f>
        <v>Auto</v>
      </c>
      <c r="I245" t="str">
        <f>IF(F245="","",IFERROR(VLOOKUP(F245,Sales_Tax_Settings!$A$15:$B$27,2,FALSE),"Tax Unknown"))</f>
        <v/>
      </c>
      <c r="J245" t="str">
        <f t="shared" si="22"/>
        <v/>
      </c>
      <c r="K245" t="str">
        <f>IF(AND(Sales_Tax_Settings!$B$5="Yes",G245="Personal Expense",J245="Taxable"),"Yes","No")</f>
        <v>No</v>
      </c>
      <c r="L245" s="4">
        <f t="shared" si="23"/>
        <v>0</v>
      </c>
      <c r="M245" s="4">
        <f t="shared" si="24"/>
        <v>0</v>
      </c>
      <c r="N245" s="4">
        <f t="shared" si="25"/>
        <v>0</v>
      </c>
      <c r="O245" s="4">
        <f t="shared" si="26"/>
        <v>0</v>
      </c>
      <c r="P245" s="4">
        <f>IF(K245&lt;&gt;"Yes",0,IF(Sales_Tax_Settings!$B$6="Yes",E245/(1+Sales_Tax_Settings!$B$10),E245))</f>
        <v>0</v>
      </c>
      <c r="Q245" s="4">
        <f>IF(K245&lt;&gt;"Yes",0,P245*Sales_Tax_Settings!$B$8)</f>
        <v>0</v>
      </c>
      <c r="R245" s="4">
        <f>IF(K245&lt;&gt;"Yes",0,P245*Sales_Tax_Settings!$B$9)</f>
        <v>0</v>
      </c>
      <c r="S245" s="4">
        <f t="shared" si="27"/>
        <v>0</v>
      </c>
    </row>
    <row r="246" spans="1:19" x14ac:dyDescent="0.3">
      <c r="A246" t="str">
        <f>IF(Expense_Input!A246="","",Expense_Input!A246)</f>
        <v/>
      </c>
      <c r="B246" t="str">
        <f>IF(Expense_Input!B246="","",Expense_Input!B246)</f>
        <v/>
      </c>
      <c r="C246" t="str">
        <f t="shared" si="21"/>
        <v/>
      </c>
      <c r="D246" t="str">
        <f>IF(Expense_Input!C246="","",Expense_Input!C246)</f>
        <v/>
      </c>
      <c r="E246" s="4" t="str">
        <f>IF(Expense_Input!D246="","",Expense_Input!D246)</f>
        <v/>
      </c>
      <c r="F246" t="str">
        <f>IF(Expense_Input!E246="","",Expense_Input!E246)</f>
        <v/>
      </c>
      <c r="G246" t="str">
        <f>IF(Expense_Input!H246="","",Expense_Input!H246)</f>
        <v/>
      </c>
      <c r="H246" t="str">
        <f>IF(Expense_Input!I246="","Auto",Expense_Input!I246)</f>
        <v>Auto</v>
      </c>
      <c r="I246" t="str">
        <f>IF(F246="","",IFERROR(VLOOKUP(F246,Sales_Tax_Settings!$A$15:$B$27,2,FALSE),"Tax Unknown"))</f>
        <v/>
      </c>
      <c r="J246" t="str">
        <f t="shared" si="22"/>
        <v/>
      </c>
      <c r="K246" t="str">
        <f>IF(AND(Sales_Tax_Settings!$B$5="Yes",G246="Personal Expense",J246="Taxable"),"Yes","No")</f>
        <v>No</v>
      </c>
      <c r="L246" s="4">
        <f t="shared" si="23"/>
        <v>0</v>
      </c>
      <c r="M246" s="4">
        <f t="shared" si="24"/>
        <v>0</v>
      </c>
      <c r="N246" s="4">
        <f t="shared" si="25"/>
        <v>0</v>
      </c>
      <c r="O246" s="4">
        <f t="shared" si="26"/>
        <v>0</v>
      </c>
      <c r="P246" s="4">
        <f>IF(K246&lt;&gt;"Yes",0,IF(Sales_Tax_Settings!$B$6="Yes",E246/(1+Sales_Tax_Settings!$B$10),E246))</f>
        <v>0</v>
      </c>
      <c r="Q246" s="4">
        <f>IF(K246&lt;&gt;"Yes",0,P246*Sales_Tax_Settings!$B$8)</f>
        <v>0</v>
      </c>
      <c r="R246" s="4">
        <f>IF(K246&lt;&gt;"Yes",0,P246*Sales_Tax_Settings!$B$9)</f>
        <v>0</v>
      </c>
      <c r="S246" s="4">
        <f t="shared" si="27"/>
        <v>0</v>
      </c>
    </row>
    <row r="247" spans="1:19" x14ac:dyDescent="0.3">
      <c r="A247" t="str">
        <f>IF(Expense_Input!A247="","",Expense_Input!A247)</f>
        <v/>
      </c>
      <c r="B247" t="str">
        <f>IF(Expense_Input!B247="","",Expense_Input!B247)</f>
        <v/>
      </c>
      <c r="C247" t="str">
        <f t="shared" si="21"/>
        <v/>
      </c>
      <c r="D247" t="str">
        <f>IF(Expense_Input!C247="","",Expense_Input!C247)</f>
        <v/>
      </c>
      <c r="E247" s="4" t="str">
        <f>IF(Expense_Input!D247="","",Expense_Input!D247)</f>
        <v/>
      </c>
      <c r="F247" t="str">
        <f>IF(Expense_Input!E247="","",Expense_Input!E247)</f>
        <v/>
      </c>
      <c r="G247" t="str">
        <f>IF(Expense_Input!H247="","",Expense_Input!H247)</f>
        <v/>
      </c>
      <c r="H247" t="str">
        <f>IF(Expense_Input!I247="","Auto",Expense_Input!I247)</f>
        <v>Auto</v>
      </c>
      <c r="I247" t="str">
        <f>IF(F247="","",IFERROR(VLOOKUP(F247,Sales_Tax_Settings!$A$15:$B$27,2,FALSE),"Tax Unknown"))</f>
        <v/>
      </c>
      <c r="J247" t="str">
        <f t="shared" si="22"/>
        <v/>
      </c>
      <c r="K247" t="str">
        <f>IF(AND(Sales_Tax_Settings!$B$5="Yes",G247="Personal Expense",J247="Taxable"),"Yes","No")</f>
        <v>No</v>
      </c>
      <c r="L247" s="4">
        <f t="shared" si="23"/>
        <v>0</v>
      </c>
      <c r="M247" s="4">
        <f t="shared" si="24"/>
        <v>0</v>
      </c>
      <c r="N247" s="4">
        <f t="shared" si="25"/>
        <v>0</v>
      </c>
      <c r="O247" s="4">
        <f t="shared" si="26"/>
        <v>0</v>
      </c>
      <c r="P247" s="4">
        <f>IF(K247&lt;&gt;"Yes",0,IF(Sales_Tax_Settings!$B$6="Yes",E247/(1+Sales_Tax_Settings!$B$10),E247))</f>
        <v>0</v>
      </c>
      <c r="Q247" s="4">
        <f>IF(K247&lt;&gt;"Yes",0,P247*Sales_Tax_Settings!$B$8)</f>
        <v>0</v>
      </c>
      <c r="R247" s="4">
        <f>IF(K247&lt;&gt;"Yes",0,P247*Sales_Tax_Settings!$B$9)</f>
        <v>0</v>
      </c>
      <c r="S247" s="4">
        <f t="shared" si="27"/>
        <v>0</v>
      </c>
    </row>
    <row r="248" spans="1:19" x14ac:dyDescent="0.3">
      <c r="A248" t="str">
        <f>IF(Expense_Input!A248="","",Expense_Input!A248)</f>
        <v/>
      </c>
      <c r="B248" t="str">
        <f>IF(Expense_Input!B248="","",Expense_Input!B248)</f>
        <v/>
      </c>
      <c r="C248" t="str">
        <f t="shared" si="21"/>
        <v/>
      </c>
      <c r="D248" t="str">
        <f>IF(Expense_Input!C248="","",Expense_Input!C248)</f>
        <v/>
      </c>
      <c r="E248" s="4" t="str">
        <f>IF(Expense_Input!D248="","",Expense_Input!D248)</f>
        <v/>
      </c>
      <c r="F248" t="str">
        <f>IF(Expense_Input!E248="","",Expense_Input!E248)</f>
        <v/>
      </c>
      <c r="G248" t="str">
        <f>IF(Expense_Input!H248="","",Expense_Input!H248)</f>
        <v/>
      </c>
      <c r="H248" t="str">
        <f>IF(Expense_Input!I248="","Auto",Expense_Input!I248)</f>
        <v>Auto</v>
      </c>
      <c r="I248" t="str">
        <f>IF(F248="","",IFERROR(VLOOKUP(F248,Sales_Tax_Settings!$A$15:$B$27,2,FALSE),"Tax Unknown"))</f>
        <v/>
      </c>
      <c r="J248" t="str">
        <f t="shared" si="22"/>
        <v/>
      </c>
      <c r="K248" t="str">
        <f>IF(AND(Sales_Tax_Settings!$B$5="Yes",G248="Personal Expense",J248="Taxable"),"Yes","No")</f>
        <v>No</v>
      </c>
      <c r="L248" s="4">
        <f t="shared" si="23"/>
        <v>0</v>
      </c>
      <c r="M248" s="4">
        <f t="shared" si="24"/>
        <v>0</v>
      </c>
      <c r="N248" s="4">
        <f t="shared" si="25"/>
        <v>0</v>
      </c>
      <c r="O248" s="4">
        <f t="shared" si="26"/>
        <v>0</v>
      </c>
      <c r="P248" s="4">
        <f>IF(K248&lt;&gt;"Yes",0,IF(Sales_Tax_Settings!$B$6="Yes",E248/(1+Sales_Tax_Settings!$B$10),E248))</f>
        <v>0</v>
      </c>
      <c r="Q248" s="4">
        <f>IF(K248&lt;&gt;"Yes",0,P248*Sales_Tax_Settings!$B$8)</f>
        <v>0</v>
      </c>
      <c r="R248" s="4">
        <f>IF(K248&lt;&gt;"Yes",0,P248*Sales_Tax_Settings!$B$9)</f>
        <v>0</v>
      </c>
      <c r="S248" s="4">
        <f t="shared" si="27"/>
        <v>0</v>
      </c>
    </row>
    <row r="249" spans="1:19" x14ac:dyDescent="0.3">
      <c r="A249" t="str">
        <f>IF(Expense_Input!A249="","",Expense_Input!A249)</f>
        <v/>
      </c>
      <c r="B249" t="str">
        <f>IF(Expense_Input!B249="","",Expense_Input!B249)</f>
        <v/>
      </c>
      <c r="C249" t="str">
        <f t="shared" si="21"/>
        <v/>
      </c>
      <c r="D249" t="str">
        <f>IF(Expense_Input!C249="","",Expense_Input!C249)</f>
        <v/>
      </c>
      <c r="E249" s="4" t="str">
        <f>IF(Expense_Input!D249="","",Expense_Input!D249)</f>
        <v/>
      </c>
      <c r="F249" t="str">
        <f>IF(Expense_Input!E249="","",Expense_Input!E249)</f>
        <v/>
      </c>
      <c r="G249" t="str">
        <f>IF(Expense_Input!H249="","",Expense_Input!H249)</f>
        <v/>
      </c>
      <c r="H249" t="str">
        <f>IF(Expense_Input!I249="","Auto",Expense_Input!I249)</f>
        <v>Auto</v>
      </c>
      <c r="I249" t="str">
        <f>IF(F249="","",IFERROR(VLOOKUP(F249,Sales_Tax_Settings!$A$15:$B$27,2,FALSE),"Tax Unknown"))</f>
        <v/>
      </c>
      <c r="J249" t="str">
        <f t="shared" si="22"/>
        <v/>
      </c>
      <c r="K249" t="str">
        <f>IF(AND(Sales_Tax_Settings!$B$5="Yes",G249="Personal Expense",J249="Taxable"),"Yes","No")</f>
        <v>No</v>
      </c>
      <c r="L249" s="4">
        <f t="shared" si="23"/>
        <v>0</v>
      </c>
      <c r="M249" s="4">
        <f t="shared" si="24"/>
        <v>0</v>
      </c>
      <c r="N249" s="4">
        <f t="shared" si="25"/>
        <v>0</v>
      </c>
      <c r="O249" s="4">
        <f t="shared" si="26"/>
        <v>0</v>
      </c>
      <c r="P249" s="4">
        <f>IF(K249&lt;&gt;"Yes",0,IF(Sales_Tax_Settings!$B$6="Yes",E249/(1+Sales_Tax_Settings!$B$10),E249))</f>
        <v>0</v>
      </c>
      <c r="Q249" s="4">
        <f>IF(K249&lt;&gt;"Yes",0,P249*Sales_Tax_Settings!$B$8)</f>
        <v>0</v>
      </c>
      <c r="R249" s="4">
        <f>IF(K249&lt;&gt;"Yes",0,P249*Sales_Tax_Settings!$B$9)</f>
        <v>0</v>
      </c>
      <c r="S249" s="4">
        <f t="shared" si="27"/>
        <v>0</v>
      </c>
    </row>
    <row r="250" spans="1:19" x14ac:dyDescent="0.3">
      <c r="A250" t="str">
        <f>IF(Expense_Input!A250="","",Expense_Input!A250)</f>
        <v/>
      </c>
      <c r="B250" t="str">
        <f>IF(Expense_Input!B250="","",Expense_Input!B250)</f>
        <v/>
      </c>
      <c r="C250" t="str">
        <f t="shared" si="21"/>
        <v/>
      </c>
      <c r="D250" t="str">
        <f>IF(Expense_Input!C250="","",Expense_Input!C250)</f>
        <v/>
      </c>
      <c r="E250" s="4" t="str">
        <f>IF(Expense_Input!D250="","",Expense_Input!D250)</f>
        <v/>
      </c>
      <c r="F250" t="str">
        <f>IF(Expense_Input!E250="","",Expense_Input!E250)</f>
        <v/>
      </c>
      <c r="G250" t="str">
        <f>IF(Expense_Input!H250="","",Expense_Input!H250)</f>
        <v/>
      </c>
      <c r="H250" t="str">
        <f>IF(Expense_Input!I250="","Auto",Expense_Input!I250)</f>
        <v>Auto</v>
      </c>
      <c r="I250" t="str">
        <f>IF(F250="","",IFERROR(VLOOKUP(F250,Sales_Tax_Settings!$A$15:$B$27,2,FALSE),"Tax Unknown"))</f>
        <v/>
      </c>
      <c r="J250" t="str">
        <f t="shared" si="22"/>
        <v/>
      </c>
      <c r="K250" t="str">
        <f>IF(AND(Sales_Tax_Settings!$B$5="Yes",G250="Personal Expense",J250="Taxable"),"Yes","No")</f>
        <v>No</v>
      </c>
      <c r="L250" s="4">
        <f t="shared" si="23"/>
        <v>0</v>
      </c>
      <c r="M250" s="4">
        <f t="shared" si="24"/>
        <v>0</v>
      </c>
      <c r="N250" s="4">
        <f t="shared" si="25"/>
        <v>0</v>
      </c>
      <c r="O250" s="4">
        <f t="shared" si="26"/>
        <v>0</v>
      </c>
      <c r="P250" s="4">
        <f>IF(K250&lt;&gt;"Yes",0,IF(Sales_Tax_Settings!$B$6="Yes",E250/(1+Sales_Tax_Settings!$B$10),E250))</f>
        <v>0</v>
      </c>
      <c r="Q250" s="4">
        <f>IF(K250&lt;&gt;"Yes",0,P250*Sales_Tax_Settings!$B$8)</f>
        <v>0</v>
      </c>
      <c r="R250" s="4">
        <f>IF(K250&lt;&gt;"Yes",0,P250*Sales_Tax_Settings!$B$9)</f>
        <v>0</v>
      </c>
      <c r="S250" s="4">
        <f t="shared" si="27"/>
        <v>0</v>
      </c>
    </row>
    <row r="251" spans="1:19" x14ac:dyDescent="0.3">
      <c r="A251" t="str">
        <f>IF(Expense_Input!A251="","",Expense_Input!A251)</f>
        <v/>
      </c>
      <c r="B251" t="str">
        <f>IF(Expense_Input!B251="","",Expense_Input!B251)</f>
        <v/>
      </c>
      <c r="C251" t="str">
        <f t="shared" si="21"/>
        <v/>
      </c>
      <c r="D251" t="str">
        <f>IF(Expense_Input!C251="","",Expense_Input!C251)</f>
        <v/>
      </c>
      <c r="E251" s="4" t="str">
        <f>IF(Expense_Input!D251="","",Expense_Input!D251)</f>
        <v/>
      </c>
      <c r="F251" t="str">
        <f>IF(Expense_Input!E251="","",Expense_Input!E251)</f>
        <v/>
      </c>
      <c r="G251" t="str">
        <f>IF(Expense_Input!H251="","",Expense_Input!H251)</f>
        <v/>
      </c>
      <c r="H251" t="str">
        <f>IF(Expense_Input!I251="","Auto",Expense_Input!I251)</f>
        <v>Auto</v>
      </c>
      <c r="I251" t="str">
        <f>IF(F251="","",IFERROR(VLOOKUP(F251,Sales_Tax_Settings!$A$15:$B$27,2,FALSE),"Tax Unknown"))</f>
        <v/>
      </c>
      <c r="J251" t="str">
        <f t="shared" si="22"/>
        <v/>
      </c>
      <c r="K251" t="str">
        <f>IF(AND(Sales_Tax_Settings!$B$5="Yes",G251="Personal Expense",J251="Taxable"),"Yes","No")</f>
        <v>No</v>
      </c>
      <c r="L251" s="4">
        <f t="shared" si="23"/>
        <v>0</v>
      </c>
      <c r="M251" s="4">
        <f t="shared" si="24"/>
        <v>0</v>
      </c>
      <c r="N251" s="4">
        <f t="shared" si="25"/>
        <v>0</v>
      </c>
      <c r="O251" s="4">
        <f t="shared" si="26"/>
        <v>0</v>
      </c>
      <c r="P251" s="4">
        <f>IF(K251&lt;&gt;"Yes",0,IF(Sales_Tax_Settings!$B$6="Yes",E251/(1+Sales_Tax_Settings!$B$10),E251))</f>
        <v>0</v>
      </c>
      <c r="Q251" s="4">
        <f>IF(K251&lt;&gt;"Yes",0,P251*Sales_Tax_Settings!$B$8)</f>
        <v>0</v>
      </c>
      <c r="R251" s="4">
        <f>IF(K251&lt;&gt;"Yes",0,P251*Sales_Tax_Settings!$B$9)</f>
        <v>0</v>
      </c>
      <c r="S251" s="4">
        <f t="shared" si="27"/>
        <v>0</v>
      </c>
    </row>
    <row r="252" spans="1:19" x14ac:dyDescent="0.3">
      <c r="A252" t="str">
        <f>IF(Expense_Input!A252="","",Expense_Input!A252)</f>
        <v/>
      </c>
      <c r="B252" t="str">
        <f>IF(Expense_Input!B252="","",Expense_Input!B252)</f>
        <v/>
      </c>
      <c r="C252" t="str">
        <f t="shared" si="21"/>
        <v/>
      </c>
      <c r="D252" t="str">
        <f>IF(Expense_Input!C252="","",Expense_Input!C252)</f>
        <v/>
      </c>
      <c r="E252" s="4" t="str">
        <f>IF(Expense_Input!D252="","",Expense_Input!D252)</f>
        <v/>
      </c>
      <c r="F252" t="str">
        <f>IF(Expense_Input!E252="","",Expense_Input!E252)</f>
        <v/>
      </c>
      <c r="G252" t="str">
        <f>IF(Expense_Input!H252="","",Expense_Input!H252)</f>
        <v/>
      </c>
      <c r="H252" t="str">
        <f>IF(Expense_Input!I252="","Auto",Expense_Input!I252)</f>
        <v>Auto</v>
      </c>
      <c r="I252" t="str">
        <f>IF(F252="","",IFERROR(VLOOKUP(F252,Sales_Tax_Settings!$A$15:$B$27,2,FALSE),"Tax Unknown"))</f>
        <v/>
      </c>
      <c r="J252" t="str">
        <f t="shared" si="22"/>
        <v/>
      </c>
      <c r="K252" t="str">
        <f>IF(AND(Sales_Tax_Settings!$B$5="Yes",G252="Personal Expense",J252="Taxable"),"Yes","No")</f>
        <v>No</v>
      </c>
      <c r="L252" s="4">
        <f t="shared" si="23"/>
        <v>0</v>
      </c>
      <c r="M252" s="4">
        <f t="shared" si="24"/>
        <v>0</v>
      </c>
      <c r="N252" s="4">
        <f t="shared" si="25"/>
        <v>0</v>
      </c>
      <c r="O252" s="4">
        <f t="shared" si="26"/>
        <v>0</v>
      </c>
      <c r="P252" s="4">
        <f>IF(K252&lt;&gt;"Yes",0,IF(Sales_Tax_Settings!$B$6="Yes",E252/(1+Sales_Tax_Settings!$B$10),E252))</f>
        <v>0</v>
      </c>
      <c r="Q252" s="4">
        <f>IF(K252&lt;&gt;"Yes",0,P252*Sales_Tax_Settings!$B$8)</f>
        <v>0</v>
      </c>
      <c r="R252" s="4">
        <f>IF(K252&lt;&gt;"Yes",0,P252*Sales_Tax_Settings!$B$9)</f>
        <v>0</v>
      </c>
      <c r="S252" s="4">
        <f t="shared" si="27"/>
        <v>0</v>
      </c>
    </row>
    <row r="253" spans="1:19" x14ac:dyDescent="0.3">
      <c r="A253" t="str">
        <f>IF(Expense_Input!A253="","",Expense_Input!A253)</f>
        <v/>
      </c>
      <c r="B253" t="str">
        <f>IF(Expense_Input!B253="","",Expense_Input!B253)</f>
        <v/>
      </c>
      <c r="C253" t="str">
        <f t="shared" si="21"/>
        <v/>
      </c>
      <c r="D253" t="str">
        <f>IF(Expense_Input!C253="","",Expense_Input!C253)</f>
        <v/>
      </c>
      <c r="E253" s="4" t="str">
        <f>IF(Expense_Input!D253="","",Expense_Input!D253)</f>
        <v/>
      </c>
      <c r="F253" t="str">
        <f>IF(Expense_Input!E253="","",Expense_Input!E253)</f>
        <v/>
      </c>
      <c r="G253" t="str">
        <f>IF(Expense_Input!H253="","",Expense_Input!H253)</f>
        <v/>
      </c>
      <c r="H253" t="str">
        <f>IF(Expense_Input!I253="","Auto",Expense_Input!I253)</f>
        <v>Auto</v>
      </c>
      <c r="I253" t="str">
        <f>IF(F253="","",IFERROR(VLOOKUP(F253,Sales_Tax_Settings!$A$15:$B$27,2,FALSE),"Tax Unknown"))</f>
        <v/>
      </c>
      <c r="J253" t="str">
        <f t="shared" si="22"/>
        <v/>
      </c>
      <c r="K253" t="str">
        <f>IF(AND(Sales_Tax_Settings!$B$5="Yes",G253="Personal Expense",J253="Taxable"),"Yes","No")</f>
        <v>No</v>
      </c>
      <c r="L253" s="4">
        <f t="shared" si="23"/>
        <v>0</v>
      </c>
      <c r="M253" s="4">
        <f t="shared" si="24"/>
        <v>0</v>
      </c>
      <c r="N253" s="4">
        <f t="shared" si="25"/>
        <v>0</v>
      </c>
      <c r="O253" s="4">
        <f t="shared" si="26"/>
        <v>0</v>
      </c>
      <c r="P253" s="4">
        <f>IF(K253&lt;&gt;"Yes",0,IF(Sales_Tax_Settings!$B$6="Yes",E253/(1+Sales_Tax_Settings!$B$10),E253))</f>
        <v>0</v>
      </c>
      <c r="Q253" s="4">
        <f>IF(K253&lt;&gt;"Yes",0,P253*Sales_Tax_Settings!$B$8)</f>
        <v>0</v>
      </c>
      <c r="R253" s="4">
        <f>IF(K253&lt;&gt;"Yes",0,P253*Sales_Tax_Settings!$B$9)</f>
        <v>0</v>
      </c>
      <c r="S253" s="4">
        <f t="shared" si="27"/>
        <v>0</v>
      </c>
    </row>
    <row r="254" spans="1:19" x14ac:dyDescent="0.3">
      <c r="A254" t="str">
        <f>IF(Expense_Input!A254="","",Expense_Input!A254)</f>
        <v/>
      </c>
      <c r="B254" t="str">
        <f>IF(Expense_Input!B254="","",Expense_Input!B254)</f>
        <v/>
      </c>
      <c r="C254" t="str">
        <f t="shared" si="21"/>
        <v/>
      </c>
      <c r="D254" t="str">
        <f>IF(Expense_Input!C254="","",Expense_Input!C254)</f>
        <v/>
      </c>
      <c r="E254" s="4" t="str">
        <f>IF(Expense_Input!D254="","",Expense_Input!D254)</f>
        <v/>
      </c>
      <c r="F254" t="str">
        <f>IF(Expense_Input!E254="","",Expense_Input!E254)</f>
        <v/>
      </c>
      <c r="G254" t="str">
        <f>IF(Expense_Input!H254="","",Expense_Input!H254)</f>
        <v/>
      </c>
      <c r="H254" t="str">
        <f>IF(Expense_Input!I254="","Auto",Expense_Input!I254)</f>
        <v>Auto</v>
      </c>
      <c r="I254" t="str">
        <f>IF(F254="","",IFERROR(VLOOKUP(F254,Sales_Tax_Settings!$A$15:$B$27,2,FALSE),"Tax Unknown"))</f>
        <v/>
      </c>
      <c r="J254" t="str">
        <f t="shared" si="22"/>
        <v/>
      </c>
      <c r="K254" t="str">
        <f>IF(AND(Sales_Tax_Settings!$B$5="Yes",G254="Personal Expense",J254="Taxable"),"Yes","No")</f>
        <v>No</v>
      </c>
      <c r="L254" s="4">
        <f t="shared" si="23"/>
        <v>0</v>
      </c>
      <c r="M254" s="4">
        <f t="shared" si="24"/>
        <v>0</v>
      </c>
      <c r="N254" s="4">
        <f t="shared" si="25"/>
        <v>0</v>
      </c>
      <c r="O254" s="4">
        <f t="shared" si="26"/>
        <v>0</v>
      </c>
      <c r="P254" s="4">
        <f>IF(K254&lt;&gt;"Yes",0,IF(Sales_Tax_Settings!$B$6="Yes",E254/(1+Sales_Tax_Settings!$B$10),E254))</f>
        <v>0</v>
      </c>
      <c r="Q254" s="4">
        <f>IF(K254&lt;&gt;"Yes",0,P254*Sales_Tax_Settings!$B$8)</f>
        <v>0</v>
      </c>
      <c r="R254" s="4">
        <f>IF(K254&lt;&gt;"Yes",0,P254*Sales_Tax_Settings!$B$9)</f>
        <v>0</v>
      </c>
      <c r="S254" s="4">
        <f t="shared" si="27"/>
        <v>0</v>
      </c>
    </row>
    <row r="255" spans="1:19" x14ac:dyDescent="0.3">
      <c r="A255" t="str">
        <f>IF(Expense_Input!A255="","",Expense_Input!A255)</f>
        <v/>
      </c>
      <c r="B255" t="str">
        <f>IF(Expense_Input!B255="","",Expense_Input!B255)</f>
        <v/>
      </c>
      <c r="C255" t="str">
        <f t="shared" si="21"/>
        <v/>
      </c>
      <c r="D255" t="str">
        <f>IF(Expense_Input!C255="","",Expense_Input!C255)</f>
        <v/>
      </c>
      <c r="E255" s="4" t="str">
        <f>IF(Expense_Input!D255="","",Expense_Input!D255)</f>
        <v/>
      </c>
      <c r="F255" t="str">
        <f>IF(Expense_Input!E255="","",Expense_Input!E255)</f>
        <v/>
      </c>
      <c r="G255" t="str">
        <f>IF(Expense_Input!H255="","",Expense_Input!H255)</f>
        <v/>
      </c>
      <c r="H255" t="str">
        <f>IF(Expense_Input!I255="","Auto",Expense_Input!I255)</f>
        <v>Auto</v>
      </c>
      <c r="I255" t="str">
        <f>IF(F255="","",IFERROR(VLOOKUP(F255,Sales_Tax_Settings!$A$15:$B$27,2,FALSE),"Tax Unknown"))</f>
        <v/>
      </c>
      <c r="J255" t="str">
        <f t="shared" si="22"/>
        <v/>
      </c>
      <c r="K255" t="str">
        <f>IF(AND(Sales_Tax_Settings!$B$5="Yes",G255="Personal Expense",J255="Taxable"),"Yes","No")</f>
        <v>No</v>
      </c>
      <c r="L255" s="4">
        <f t="shared" si="23"/>
        <v>0</v>
      </c>
      <c r="M255" s="4">
        <f t="shared" si="24"/>
        <v>0</v>
      </c>
      <c r="N255" s="4">
        <f t="shared" si="25"/>
        <v>0</v>
      </c>
      <c r="O255" s="4">
        <f t="shared" si="26"/>
        <v>0</v>
      </c>
      <c r="P255" s="4">
        <f>IF(K255&lt;&gt;"Yes",0,IF(Sales_Tax_Settings!$B$6="Yes",E255/(1+Sales_Tax_Settings!$B$10),E255))</f>
        <v>0</v>
      </c>
      <c r="Q255" s="4">
        <f>IF(K255&lt;&gt;"Yes",0,P255*Sales_Tax_Settings!$B$8)</f>
        <v>0</v>
      </c>
      <c r="R255" s="4">
        <f>IF(K255&lt;&gt;"Yes",0,P255*Sales_Tax_Settings!$B$9)</f>
        <v>0</v>
      </c>
      <c r="S255" s="4">
        <f t="shared" si="27"/>
        <v>0</v>
      </c>
    </row>
    <row r="256" spans="1:19" x14ac:dyDescent="0.3">
      <c r="A256" t="str">
        <f>IF(Expense_Input!A256="","",Expense_Input!A256)</f>
        <v/>
      </c>
      <c r="B256" t="str">
        <f>IF(Expense_Input!B256="","",Expense_Input!B256)</f>
        <v/>
      </c>
      <c r="C256" t="str">
        <f t="shared" si="21"/>
        <v/>
      </c>
      <c r="D256" t="str">
        <f>IF(Expense_Input!C256="","",Expense_Input!C256)</f>
        <v/>
      </c>
      <c r="E256" s="4" t="str">
        <f>IF(Expense_Input!D256="","",Expense_Input!D256)</f>
        <v/>
      </c>
      <c r="F256" t="str">
        <f>IF(Expense_Input!E256="","",Expense_Input!E256)</f>
        <v/>
      </c>
      <c r="G256" t="str">
        <f>IF(Expense_Input!H256="","",Expense_Input!H256)</f>
        <v/>
      </c>
      <c r="H256" t="str">
        <f>IF(Expense_Input!I256="","Auto",Expense_Input!I256)</f>
        <v>Auto</v>
      </c>
      <c r="I256" t="str">
        <f>IF(F256="","",IFERROR(VLOOKUP(F256,Sales_Tax_Settings!$A$15:$B$27,2,FALSE),"Tax Unknown"))</f>
        <v/>
      </c>
      <c r="J256" t="str">
        <f t="shared" si="22"/>
        <v/>
      </c>
      <c r="K256" t="str">
        <f>IF(AND(Sales_Tax_Settings!$B$5="Yes",G256="Personal Expense",J256="Taxable"),"Yes","No")</f>
        <v>No</v>
      </c>
      <c r="L256" s="4">
        <f t="shared" si="23"/>
        <v>0</v>
      </c>
      <c r="M256" s="4">
        <f t="shared" si="24"/>
        <v>0</v>
      </c>
      <c r="N256" s="4">
        <f t="shared" si="25"/>
        <v>0</v>
      </c>
      <c r="O256" s="4">
        <f t="shared" si="26"/>
        <v>0</v>
      </c>
      <c r="P256" s="4">
        <f>IF(K256&lt;&gt;"Yes",0,IF(Sales_Tax_Settings!$B$6="Yes",E256/(1+Sales_Tax_Settings!$B$10),E256))</f>
        <v>0</v>
      </c>
      <c r="Q256" s="4">
        <f>IF(K256&lt;&gt;"Yes",0,P256*Sales_Tax_Settings!$B$8)</f>
        <v>0</v>
      </c>
      <c r="R256" s="4">
        <f>IF(K256&lt;&gt;"Yes",0,P256*Sales_Tax_Settings!$B$9)</f>
        <v>0</v>
      </c>
      <c r="S256" s="4">
        <f t="shared" si="27"/>
        <v>0</v>
      </c>
    </row>
    <row r="257" spans="1:19" x14ac:dyDescent="0.3">
      <c r="A257" t="str">
        <f>IF(Expense_Input!A257="","",Expense_Input!A257)</f>
        <v/>
      </c>
      <c r="B257" t="str">
        <f>IF(Expense_Input!B257="","",Expense_Input!B257)</f>
        <v/>
      </c>
      <c r="C257" t="str">
        <f t="shared" si="21"/>
        <v/>
      </c>
      <c r="D257" t="str">
        <f>IF(Expense_Input!C257="","",Expense_Input!C257)</f>
        <v/>
      </c>
      <c r="E257" s="4" t="str">
        <f>IF(Expense_Input!D257="","",Expense_Input!D257)</f>
        <v/>
      </c>
      <c r="F257" t="str">
        <f>IF(Expense_Input!E257="","",Expense_Input!E257)</f>
        <v/>
      </c>
      <c r="G257" t="str">
        <f>IF(Expense_Input!H257="","",Expense_Input!H257)</f>
        <v/>
      </c>
      <c r="H257" t="str">
        <f>IF(Expense_Input!I257="","Auto",Expense_Input!I257)</f>
        <v>Auto</v>
      </c>
      <c r="I257" t="str">
        <f>IF(F257="","",IFERROR(VLOOKUP(F257,Sales_Tax_Settings!$A$15:$B$27,2,FALSE),"Tax Unknown"))</f>
        <v/>
      </c>
      <c r="J257" t="str">
        <f t="shared" si="22"/>
        <v/>
      </c>
      <c r="K257" t="str">
        <f>IF(AND(Sales_Tax_Settings!$B$5="Yes",G257="Personal Expense",J257="Taxable"),"Yes","No")</f>
        <v>No</v>
      </c>
      <c r="L257" s="4">
        <f t="shared" si="23"/>
        <v>0</v>
      </c>
      <c r="M257" s="4">
        <f t="shared" si="24"/>
        <v>0</v>
      </c>
      <c r="N257" s="4">
        <f t="shared" si="25"/>
        <v>0</v>
      </c>
      <c r="O257" s="4">
        <f t="shared" si="26"/>
        <v>0</v>
      </c>
      <c r="P257" s="4">
        <f>IF(K257&lt;&gt;"Yes",0,IF(Sales_Tax_Settings!$B$6="Yes",E257/(1+Sales_Tax_Settings!$B$10),E257))</f>
        <v>0</v>
      </c>
      <c r="Q257" s="4">
        <f>IF(K257&lt;&gt;"Yes",0,P257*Sales_Tax_Settings!$B$8)</f>
        <v>0</v>
      </c>
      <c r="R257" s="4">
        <f>IF(K257&lt;&gt;"Yes",0,P257*Sales_Tax_Settings!$B$9)</f>
        <v>0</v>
      </c>
      <c r="S257" s="4">
        <f t="shared" si="27"/>
        <v>0</v>
      </c>
    </row>
    <row r="258" spans="1:19" x14ac:dyDescent="0.3">
      <c r="A258" t="str">
        <f>IF(Expense_Input!A258="","",Expense_Input!A258)</f>
        <v/>
      </c>
      <c r="B258" t="str">
        <f>IF(Expense_Input!B258="","",Expense_Input!B258)</f>
        <v/>
      </c>
      <c r="C258" t="str">
        <f t="shared" si="21"/>
        <v/>
      </c>
      <c r="D258" t="str">
        <f>IF(Expense_Input!C258="","",Expense_Input!C258)</f>
        <v/>
      </c>
      <c r="E258" s="4" t="str">
        <f>IF(Expense_Input!D258="","",Expense_Input!D258)</f>
        <v/>
      </c>
      <c r="F258" t="str">
        <f>IF(Expense_Input!E258="","",Expense_Input!E258)</f>
        <v/>
      </c>
      <c r="G258" t="str">
        <f>IF(Expense_Input!H258="","",Expense_Input!H258)</f>
        <v/>
      </c>
      <c r="H258" t="str">
        <f>IF(Expense_Input!I258="","Auto",Expense_Input!I258)</f>
        <v>Auto</v>
      </c>
      <c r="I258" t="str">
        <f>IF(F258="","",IFERROR(VLOOKUP(F258,Sales_Tax_Settings!$A$15:$B$27,2,FALSE),"Tax Unknown"))</f>
        <v/>
      </c>
      <c r="J258" t="str">
        <f t="shared" si="22"/>
        <v/>
      </c>
      <c r="K258" t="str">
        <f>IF(AND(Sales_Tax_Settings!$B$5="Yes",G258="Personal Expense",J258="Taxable"),"Yes","No")</f>
        <v>No</v>
      </c>
      <c r="L258" s="4">
        <f t="shared" si="23"/>
        <v>0</v>
      </c>
      <c r="M258" s="4">
        <f t="shared" si="24"/>
        <v>0</v>
      </c>
      <c r="N258" s="4">
        <f t="shared" si="25"/>
        <v>0</v>
      </c>
      <c r="O258" s="4">
        <f t="shared" si="26"/>
        <v>0</v>
      </c>
      <c r="P258" s="4">
        <f>IF(K258&lt;&gt;"Yes",0,IF(Sales_Tax_Settings!$B$6="Yes",E258/(1+Sales_Tax_Settings!$B$10),E258))</f>
        <v>0</v>
      </c>
      <c r="Q258" s="4">
        <f>IF(K258&lt;&gt;"Yes",0,P258*Sales_Tax_Settings!$B$8)</f>
        <v>0</v>
      </c>
      <c r="R258" s="4">
        <f>IF(K258&lt;&gt;"Yes",0,P258*Sales_Tax_Settings!$B$9)</f>
        <v>0</v>
      </c>
      <c r="S258" s="4">
        <f t="shared" si="27"/>
        <v>0</v>
      </c>
    </row>
    <row r="259" spans="1:19" x14ac:dyDescent="0.3">
      <c r="A259" t="str">
        <f>IF(Expense_Input!A259="","",Expense_Input!A259)</f>
        <v/>
      </c>
      <c r="B259" t="str">
        <f>IF(Expense_Input!B259="","",Expense_Input!B259)</f>
        <v/>
      </c>
      <c r="C259" t="str">
        <f t="shared" si="21"/>
        <v/>
      </c>
      <c r="D259" t="str">
        <f>IF(Expense_Input!C259="","",Expense_Input!C259)</f>
        <v/>
      </c>
      <c r="E259" s="4" t="str">
        <f>IF(Expense_Input!D259="","",Expense_Input!D259)</f>
        <v/>
      </c>
      <c r="F259" t="str">
        <f>IF(Expense_Input!E259="","",Expense_Input!E259)</f>
        <v/>
      </c>
      <c r="G259" t="str">
        <f>IF(Expense_Input!H259="","",Expense_Input!H259)</f>
        <v/>
      </c>
      <c r="H259" t="str">
        <f>IF(Expense_Input!I259="","Auto",Expense_Input!I259)</f>
        <v>Auto</v>
      </c>
      <c r="I259" t="str">
        <f>IF(F259="","",IFERROR(VLOOKUP(F259,Sales_Tax_Settings!$A$15:$B$27,2,FALSE),"Tax Unknown"))</f>
        <v/>
      </c>
      <c r="J259" t="str">
        <f t="shared" si="22"/>
        <v/>
      </c>
      <c r="K259" t="str">
        <f>IF(AND(Sales_Tax_Settings!$B$5="Yes",G259="Personal Expense",J259="Taxable"),"Yes","No")</f>
        <v>No</v>
      </c>
      <c r="L259" s="4">
        <f t="shared" si="23"/>
        <v>0</v>
      </c>
      <c r="M259" s="4">
        <f t="shared" si="24"/>
        <v>0</v>
      </c>
      <c r="N259" s="4">
        <f t="shared" si="25"/>
        <v>0</v>
      </c>
      <c r="O259" s="4">
        <f t="shared" si="26"/>
        <v>0</v>
      </c>
      <c r="P259" s="4">
        <f>IF(K259&lt;&gt;"Yes",0,IF(Sales_Tax_Settings!$B$6="Yes",E259/(1+Sales_Tax_Settings!$B$10),E259))</f>
        <v>0</v>
      </c>
      <c r="Q259" s="4">
        <f>IF(K259&lt;&gt;"Yes",0,P259*Sales_Tax_Settings!$B$8)</f>
        <v>0</v>
      </c>
      <c r="R259" s="4">
        <f>IF(K259&lt;&gt;"Yes",0,P259*Sales_Tax_Settings!$B$9)</f>
        <v>0</v>
      </c>
      <c r="S259" s="4">
        <f t="shared" si="27"/>
        <v>0</v>
      </c>
    </row>
    <row r="260" spans="1:19" x14ac:dyDescent="0.3">
      <c r="A260" t="str">
        <f>IF(Expense_Input!A260="","",Expense_Input!A260)</f>
        <v/>
      </c>
      <c r="B260" t="str">
        <f>IF(Expense_Input!B260="","",Expense_Input!B260)</f>
        <v/>
      </c>
      <c r="C260" t="str">
        <f t="shared" ref="C260:C323" si="28">IF(B260="","",TEXT(B260,"yyyy-mm"))</f>
        <v/>
      </c>
      <c r="D260" t="str">
        <f>IF(Expense_Input!C260="","",Expense_Input!C260)</f>
        <v/>
      </c>
      <c r="E260" s="4" t="str">
        <f>IF(Expense_Input!D260="","",Expense_Input!D260)</f>
        <v/>
      </c>
      <c r="F260" t="str">
        <f>IF(Expense_Input!E260="","",Expense_Input!E260)</f>
        <v/>
      </c>
      <c r="G260" t="str">
        <f>IF(Expense_Input!H260="","",Expense_Input!H260)</f>
        <v/>
      </c>
      <c r="H260" t="str">
        <f>IF(Expense_Input!I260="","Auto",Expense_Input!I260)</f>
        <v>Auto</v>
      </c>
      <c r="I260" t="str">
        <f>IF(F260="","",IFERROR(VLOOKUP(F260,Sales_Tax_Settings!$A$15:$B$27,2,FALSE),"Tax Unknown"))</f>
        <v/>
      </c>
      <c r="J260" t="str">
        <f t="shared" ref="J260:J323" si="29">IF(D260="","",IF(H260="Auto",I260,H260))</f>
        <v/>
      </c>
      <c r="K260" t="str">
        <f>IF(AND(Sales_Tax_Settings!$B$5="Yes",G260="Personal Expense",J260="Taxable"),"Yes","No")</f>
        <v>No</v>
      </c>
      <c r="L260" s="4">
        <f t="shared" ref="L260:L323" si="30">IF(K260="Yes",E260,0)</f>
        <v>0</v>
      </c>
      <c r="M260" s="4">
        <f t="shared" ref="M260:M323" si="31">IF(AND(G260="Personal Expense",J260="Zero-rated"),E260,0)</f>
        <v>0</v>
      </c>
      <c r="N260" s="4">
        <f t="shared" ref="N260:N323" si="32">IF(AND(G260="Personal Expense",J260="Exempt"),E260,0)</f>
        <v>0</v>
      </c>
      <c r="O260" s="4">
        <f t="shared" ref="O260:O323" si="33">IF(AND(G260="Personal Expense",OR(J260="Tax Unknown",J260="Not Applicable")),E260,0)</f>
        <v>0</v>
      </c>
      <c r="P260" s="4">
        <f>IF(K260&lt;&gt;"Yes",0,IF(Sales_Tax_Settings!$B$6="Yes",E260/(1+Sales_Tax_Settings!$B$10),E260))</f>
        <v>0</v>
      </c>
      <c r="Q260" s="4">
        <f>IF(K260&lt;&gt;"Yes",0,P260*Sales_Tax_Settings!$B$8)</f>
        <v>0</v>
      </c>
      <c r="R260" s="4">
        <f>IF(K260&lt;&gt;"Yes",0,P260*Sales_Tax_Settings!$B$9)</f>
        <v>0</v>
      </c>
      <c r="S260" s="4">
        <f t="shared" ref="S260:S323" si="34">Q260+R260</f>
        <v>0</v>
      </c>
    </row>
    <row r="261" spans="1:19" x14ac:dyDescent="0.3">
      <c r="A261" t="str">
        <f>IF(Expense_Input!A261="","",Expense_Input!A261)</f>
        <v/>
      </c>
      <c r="B261" t="str">
        <f>IF(Expense_Input!B261="","",Expense_Input!B261)</f>
        <v/>
      </c>
      <c r="C261" t="str">
        <f t="shared" si="28"/>
        <v/>
      </c>
      <c r="D261" t="str">
        <f>IF(Expense_Input!C261="","",Expense_Input!C261)</f>
        <v/>
      </c>
      <c r="E261" s="4" t="str">
        <f>IF(Expense_Input!D261="","",Expense_Input!D261)</f>
        <v/>
      </c>
      <c r="F261" t="str">
        <f>IF(Expense_Input!E261="","",Expense_Input!E261)</f>
        <v/>
      </c>
      <c r="G261" t="str">
        <f>IF(Expense_Input!H261="","",Expense_Input!H261)</f>
        <v/>
      </c>
      <c r="H261" t="str">
        <f>IF(Expense_Input!I261="","Auto",Expense_Input!I261)</f>
        <v>Auto</v>
      </c>
      <c r="I261" t="str">
        <f>IF(F261="","",IFERROR(VLOOKUP(F261,Sales_Tax_Settings!$A$15:$B$27,2,FALSE),"Tax Unknown"))</f>
        <v/>
      </c>
      <c r="J261" t="str">
        <f t="shared" si="29"/>
        <v/>
      </c>
      <c r="K261" t="str">
        <f>IF(AND(Sales_Tax_Settings!$B$5="Yes",G261="Personal Expense",J261="Taxable"),"Yes","No")</f>
        <v>No</v>
      </c>
      <c r="L261" s="4">
        <f t="shared" si="30"/>
        <v>0</v>
      </c>
      <c r="M261" s="4">
        <f t="shared" si="31"/>
        <v>0</v>
      </c>
      <c r="N261" s="4">
        <f t="shared" si="32"/>
        <v>0</v>
      </c>
      <c r="O261" s="4">
        <f t="shared" si="33"/>
        <v>0</v>
      </c>
      <c r="P261" s="4">
        <f>IF(K261&lt;&gt;"Yes",0,IF(Sales_Tax_Settings!$B$6="Yes",E261/(1+Sales_Tax_Settings!$B$10),E261))</f>
        <v>0</v>
      </c>
      <c r="Q261" s="4">
        <f>IF(K261&lt;&gt;"Yes",0,P261*Sales_Tax_Settings!$B$8)</f>
        <v>0</v>
      </c>
      <c r="R261" s="4">
        <f>IF(K261&lt;&gt;"Yes",0,P261*Sales_Tax_Settings!$B$9)</f>
        <v>0</v>
      </c>
      <c r="S261" s="4">
        <f t="shared" si="34"/>
        <v>0</v>
      </c>
    </row>
    <row r="262" spans="1:19" x14ac:dyDescent="0.3">
      <c r="A262" t="str">
        <f>IF(Expense_Input!A262="","",Expense_Input!A262)</f>
        <v/>
      </c>
      <c r="B262" t="str">
        <f>IF(Expense_Input!B262="","",Expense_Input!B262)</f>
        <v/>
      </c>
      <c r="C262" t="str">
        <f t="shared" si="28"/>
        <v/>
      </c>
      <c r="D262" t="str">
        <f>IF(Expense_Input!C262="","",Expense_Input!C262)</f>
        <v/>
      </c>
      <c r="E262" s="4" t="str">
        <f>IF(Expense_Input!D262="","",Expense_Input!D262)</f>
        <v/>
      </c>
      <c r="F262" t="str">
        <f>IF(Expense_Input!E262="","",Expense_Input!E262)</f>
        <v/>
      </c>
      <c r="G262" t="str">
        <f>IF(Expense_Input!H262="","",Expense_Input!H262)</f>
        <v/>
      </c>
      <c r="H262" t="str">
        <f>IF(Expense_Input!I262="","Auto",Expense_Input!I262)</f>
        <v>Auto</v>
      </c>
      <c r="I262" t="str">
        <f>IF(F262="","",IFERROR(VLOOKUP(F262,Sales_Tax_Settings!$A$15:$B$27,2,FALSE),"Tax Unknown"))</f>
        <v/>
      </c>
      <c r="J262" t="str">
        <f t="shared" si="29"/>
        <v/>
      </c>
      <c r="K262" t="str">
        <f>IF(AND(Sales_Tax_Settings!$B$5="Yes",G262="Personal Expense",J262="Taxable"),"Yes","No")</f>
        <v>No</v>
      </c>
      <c r="L262" s="4">
        <f t="shared" si="30"/>
        <v>0</v>
      </c>
      <c r="M262" s="4">
        <f t="shared" si="31"/>
        <v>0</v>
      </c>
      <c r="N262" s="4">
        <f t="shared" si="32"/>
        <v>0</v>
      </c>
      <c r="O262" s="4">
        <f t="shared" si="33"/>
        <v>0</v>
      </c>
      <c r="P262" s="4">
        <f>IF(K262&lt;&gt;"Yes",0,IF(Sales_Tax_Settings!$B$6="Yes",E262/(1+Sales_Tax_Settings!$B$10),E262))</f>
        <v>0</v>
      </c>
      <c r="Q262" s="4">
        <f>IF(K262&lt;&gt;"Yes",0,P262*Sales_Tax_Settings!$B$8)</f>
        <v>0</v>
      </c>
      <c r="R262" s="4">
        <f>IF(K262&lt;&gt;"Yes",0,P262*Sales_Tax_Settings!$B$9)</f>
        <v>0</v>
      </c>
      <c r="S262" s="4">
        <f t="shared" si="34"/>
        <v>0</v>
      </c>
    </row>
    <row r="263" spans="1:19" x14ac:dyDescent="0.3">
      <c r="A263" t="str">
        <f>IF(Expense_Input!A263="","",Expense_Input!A263)</f>
        <v/>
      </c>
      <c r="B263" t="str">
        <f>IF(Expense_Input!B263="","",Expense_Input!B263)</f>
        <v/>
      </c>
      <c r="C263" t="str">
        <f t="shared" si="28"/>
        <v/>
      </c>
      <c r="D263" t="str">
        <f>IF(Expense_Input!C263="","",Expense_Input!C263)</f>
        <v/>
      </c>
      <c r="E263" s="4" t="str">
        <f>IF(Expense_Input!D263="","",Expense_Input!D263)</f>
        <v/>
      </c>
      <c r="F263" t="str">
        <f>IF(Expense_Input!E263="","",Expense_Input!E263)</f>
        <v/>
      </c>
      <c r="G263" t="str">
        <f>IF(Expense_Input!H263="","",Expense_Input!H263)</f>
        <v/>
      </c>
      <c r="H263" t="str">
        <f>IF(Expense_Input!I263="","Auto",Expense_Input!I263)</f>
        <v>Auto</v>
      </c>
      <c r="I263" t="str">
        <f>IF(F263="","",IFERROR(VLOOKUP(F263,Sales_Tax_Settings!$A$15:$B$27,2,FALSE),"Tax Unknown"))</f>
        <v/>
      </c>
      <c r="J263" t="str">
        <f t="shared" si="29"/>
        <v/>
      </c>
      <c r="K263" t="str">
        <f>IF(AND(Sales_Tax_Settings!$B$5="Yes",G263="Personal Expense",J263="Taxable"),"Yes","No")</f>
        <v>No</v>
      </c>
      <c r="L263" s="4">
        <f t="shared" si="30"/>
        <v>0</v>
      </c>
      <c r="M263" s="4">
        <f t="shared" si="31"/>
        <v>0</v>
      </c>
      <c r="N263" s="4">
        <f t="shared" si="32"/>
        <v>0</v>
      </c>
      <c r="O263" s="4">
        <f t="shared" si="33"/>
        <v>0</v>
      </c>
      <c r="P263" s="4">
        <f>IF(K263&lt;&gt;"Yes",0,IF(Sales_Tax_Settings!$B$6="Yes",E263/(1+Sales_Tax_Settings!$B$10),E263))</f>
        <v>0</v>
      </c>
      <c r="Q263" s="4">
        <f>IF(K263&lt;&gt;"Yes",0,P263*Sales_Tax_Settings!$B$8)</f>
        <v>0</v>
      </c>
      <c r="R263" s="4">
        <f>IF(K263&lt;&gt;"Yes",0,P263*Sales_Tax_Settings!$B$9)</f>
        <v>0</v>
      </c>
      <c r="S263" s="4">
        <f t="shared" si="34"/>
        <v>0</v>
      </c>
    </row>
    <row r="264" spans="1:19" x14ac:dyDescent="0.3">
      <c r="A264" t="str">
        <f>IF(Expense_Input!A264="","",Expense_Input!A264)</f>
        <v/>
      </c>
      <c r="B264" t="str">
        <f>IF(Expense_Input!B264="","",Expense_Input!B264)</f>
        <v/>
      </c>
      <c r="C264" t="str">
        <f t="shared" si="28"/>
        <v/>
      </c>
      <c r="D264" t="str">
        <f>IF(Expense_Input!C264="","",Expense_Input!C264)</f>
        <v/>
      </c>
      <c r="E264" s="4" t="str">
        <f>IF(Expense_Input!D264="","",Expense_Input!D264)</f>
        <v/>
      </c>
      <c r="F264" t="str">
        <f>IF(Expense_Input!E264="","",Expense_Input!E264)</f>
        <v/>
      </c>
      <c r="G264" t="str">
        <f>IF(Expense_Input!H264="","",Expense_Input!H264)</f>
        <v/>
      </c>
      <c r="H264" t="str">
        <f>IF(Expense_Input!I264="","Auto",Expense_Input!I264)</f>
        <v>Auto</v>
      </c>
      <c r="I264" t="str">
        <f>IF(F264="","",IFERROR(VLOOKUP(F264,Sales_Tax_Settings!$A$15:$B$27,2,FALSE),"Tax Unknown"))</f>
        <v/>
      </c>
      <c r="J264" t="str">
        <f t="shared" si="29"/>
        <v/>
      </c>
      <c r="K264" t="str">
        <f>IF(AND(Sales_Tax_Settings!$B$5="Yes",G264="Personal Expense",J264="Taxable"),"Yes","No")</f>
        <v>No</v>
      </c>
      <c r="L264" s="4">
        <f t="shared" si="30"/>
        <v>0</v>
      </c>
      <c r="M264" s="4">
        <f t="shared" si="31"/>
        <v>0</v>
      </c>
      <c r="N264" s="4">
        <f t="shared" si="32"/>
        <v>0</v>
      </c>
      <c r="O264" s="4">
        <f t="shared" si="33"/>
        <v>0</v>
      </c>
      <c r="P264" s="4">
        <f>IF(K264&lt;&gt;"Yes",0,IF(Sales_Tax_Settings!$B$6="Yes",E264/(1+Sales_Tax_Settings!$B$10),E264))</f>
        <v>0</v>
      </c>
      <c r="Q264" s="4">
        <f>IF(K264&lt;&gt;"Yes",0,P264*Sales_Tax_Settings!$B$8)</f>
        <v>0</v>
      </c>
      <c r="R264" s="4">
        <f>IF(K264&lt;&gt;"Yes",0,P264*Sales_Tax_Settings!$B$9)</f>
        <v>0</v>
      </c>
      <c r="S264" s="4">
        <f t="shared" si="34"/>
        <v>0</v>
      </c>
    </row>
    <row r="265" spans="1:19" x14ac:dyDescent="0.3">
      <c r="A265" t="str">
        <f>IF(Expense_Input!A265="","",Expense_Input!A265)</f>
        <v/>
      </c>
      <c r="B265" t="str">
        <f>IF(Expense_Input!B265="","",Expense_Input!B265)</f>
        <v/>
      </c>
      <c r="C265" t="str">
        <f t="shared" si="28"/>
        <v/>
      </c>
      <c r="D265" t="str">
        <f>IF(Expense_Input!C265="","",Expense_Input!C265)</f>
        <v/>
      </c>
      <c r="E265" s="4" t="str">
        <f>IF(Expense_Input!D265="","",Expense_Input!D265)</f>
        <v/>
      </c>
      <c r="F265" t="str">
        <f>IF(Expense_Input!E265="","",Expense_Input!E265)</f>
        <v/>
      </c>
      <c r="G265" t="str">
        <f>IF(Expense_Input!H265="","",Expense_Input!H265)</f>
        <v/>
      </c>
      <c r="H265" t="str">
        <f>IF(Expense_Input!I265="","Auto",Expense_Input!I265)</f>
        <v>Auto</v>
      </c>
      <c r="I265" t="str">
        <f>IF(F265="","",IFERROR(VLOOKUP(F265,Sales_Tax_Settings!$A$15:$B$27,2,FALSE),"Tax Unknown"))</f>
        <v/>
      </c>
      <c r="J265" t="str">
        <f t="shared" si="29"/>
        <v/>
      </c>
      <c r="K265" t="str">
        <f>IF(AND(Sales_Tax_Settings!$B$5="Yes",G265="Personal Expense",J265="Taxable"),"Yes","No")</f>
        <v>No</v>
      </c>
      <c r="L265" s="4">
        <f t="shared" si="30"/>
        <v>0</v>
      </c>
      <c r="M265" s="4">
        <f t="shared" si="31"/>
        <v>0</v>
      </c>
      <c r="N265" s="4">
        <f t="shared" si="32"/>
        <v>0</v>
      </c>
      <c r="O265" s="4">
        <f t="shared" si="33"/>
        <v>0</v>
      </c>
      <c r="P265" s="4">
        <f>IF(K265&lt;&gt;"Yes",0,IF(Sales_Tax_Settings!$B$6="Yes",E265/(1+Sales_Tax_Settings!$B$10),E265))</f>
        <v>0</v>
      </c>
      <c r="Q265" s="4">
        <f>IF(K265&lt;&gt;"Yes",0,P265*Sales_Tax_Settings!$B$8)</f>
        <v>0</v>
      </c>
      <c r="R265" s="4">
        <f>IF(K265&lt;&gt;"Yes",0,P265*Sales_Tax_Settings!$B$9)</f>
        <v>0</v>
      </c>
      <c r="S265" s="4">
        <f t="shared" si="34"/>
        <v>0</v>
      </c>
    </row>
    <row r="266" spans="1:19" x14ac:dyDescent="0.3">
      <c r="A266" t="str">
        <f>IF(Expense_Input!A266="","",Expense_Input!A266)</f>
        <v/>
      </c>
      <c r="B266" t="str">
        <f>IF(Expense_Input!B266="","",Expense_Input!B266)</f>
        <v/>
      </c>
      <c r="C266" t="str">
        <f t="shared" si="28"/>
        <v/>
      </c>
      <c r="D266" t="str">
        <f>IF(Expense_Input!C266="","",Expense_Input!C266)</f>
        <v/>
      </c>
      <c r="E266" s="4" t="str">
        <f>IF(Expense_Input!D266="","",Expense_Input!D266)</f>
        <v/>
      </c>
      <c r="F266" t="str">
        <f>IF(Expense_Input!E266="","",Expense_Input!E266)</f>
        <v/>
      </c>
      <c r="G266" t="str">
        <f>IF(Expense_Input!H266="","",Expense_Input!H266)</f>
        <v/>
      </c>
      <c r="H266" t="str">
        <f>IF(Expense_Input!I266="","Auto",Expense_Input!I266)</f>
        <v>Auto</v>
      </c>
      <c r="I266" t="str">
        <f>IF(F266="","",IFERROR(VLOOKUP(F266,Sales_Tax_Settings!$A$15:$B$27,2,FALSE),"Tax Unknown"))</f>
        <v/>
      </c>
      <c r="J266" t="str">
        <f t="shared" si="29"/>
        <v/>
      </c>
      <c r="K266" t="str">
        <f>IF(AND(Sales_Tax_Settings!$B$5="Yes",G266="Personal Expense",J266="Taxable"),"Yes","No")</f>
        <v>No</v>
      </c>
      <c r="L266" s="4">
        <f t="shared" si="30"/>
        <v>0</v>
      </c>
      <c r="M266" s="4">
        <f t="shared" si="31"/>
        <v>0</v>
      </c>
      <c r="N266" s="4">
        <f t="shared" si="32"/>
        <v>0</v>
      </c>
      <c r="O266" s="4">
        <f t="shared" si="33"/>
        <v>0</v>
      </c>
      <c r="P266" s="4">
        <f>IF(K266&lt;&gt;"Yes",0,IF(Sales_Tax_Settings!$B$6="Yes",E266/(1+Sales_Tax_Settings!$B$10),E266))</f>
        <v>0</v>
      </c>
      <c r="Q266" s="4">
        <f>IF(K266&lt;&gt;"Yes",0,P266*Sales_Tax_Settings!$B$8)</f>
        <v>0</v>
      </c>
      <c r="R266" s="4">
        <f>IF(K266&lt;&gt;"Yes",0,P266*Sales_Tax_Settings!$B$9)</f>
        <v>0</v>
      </c>
      <c r="S266" s="4">
        <f t="shared" si="34"/>
        <v>0</v>
      </c>
    </row>
    <row r="267" spans="1:19" x14ac:dyDescent="0.3">
      <c r="A267" t="str">
        <f>IF(Expense_Input!A267="","",Expense_Input!A267)</f>
        <v/>
      </c>
      <c r="B267" t="str">
        <f>IF(Expense_Input!B267="","",Expense_Input!B267)</f>
        <v/>
      </c>
      <c r="C267" t="str">
        <f t="shared" si="28"/>
        <v/>
      </c>
      <c r="D267" t="str">
        <f>IF(Expense_Input!C267="","",Expense_Input!C267)</f>
        <v/>
      </c>
      <c r="E267" s="4" t="str">
        <f>IF(Expense_Input!D267="","",Expense_Input!D267)</f>
        <v/>
      </c>
      <c r="F267" t="str">
        <f>IF(Expense_Input!E267="","",Expense_Input!E267)</f>
        <v/>
      </c>
      <c r="G267" t="str">
        <f>IF(Expense_Input!H267="","",Expense_Input!H267)</f>
        <v/>
      </c>
      <c r="H267" t="str">
        <f>IF(Expense_Input!I267="","Auto",Expense_Input!I267)</f>
        <v>Auto</v>
      </c>
      <c r="I267" t="str">
        <f>IF(F267="","",IFERROR(VLOOKUP(F267,Sales_Tax_Settings!$A$15:$B$27,2,FALSE),"Tax Unknown"))</f>
        <v/>
      </c>
      <c r="J267" t="str">
        <f t="shared" si="29"/>
        <v/>
      </c>
      <c r="K267" t="str">
        <f>IF(AND(Sales_Tax_Settings!$B$5="Yes",G267="Personal Expense",J267="Taxable"),"Yes","No")</f>
        <v>No</v>
      </c>
      <c r="L267" s="4">
        <f t="shared" si="30"/>
        <v>0</v>
      </c>
      <c r="M267" s="4">
        <f t="shared" si="31"/>
        <v>0</v>
      </c>
      <c r="N267" s="4">
        <f t="shared" si="32"/>
        <v>0</v>
      </c>
      <c r="O267" s="4">
        <f t="shared" si="33"/>
        <v>0</v>
      </c>
      <c r="P267" s="4">
        <f>IF(K267&lt;&gt;"Yes",0,IF(Sales_Tax_Settings!$B$6="Yes",E267/(1+Sales_Tax_Settings!$B$10),E267))</f>
        <v>0</v>
      </c>
      <c r="Q267" s="4">
        <f>IF(K267&lt;&gt;"Yes",0,P267*Sales_Tax_Settings!$B$8)</f>
        <v>0</v>
      </c>
      <c r="R267" s="4">
        <f>IF(K267&lt;&gt;"Yes",0,P267*Sales_Tax_Settings!$B$9)</f>
        <v>0</v>
      </c>
      <c r="S267" s="4">
        <f t="shared" si="34"/>
        <v>0</v>
      </c>
    </row>
    <row r="268" spans="1:19" x14ac:dyDescent="0.3">
      <c r="A268" t="str">
        <f>IF(Expense_Input!A268="","",Expense_Input!A268)</f>
        <v/>
      </c>
      <c r="B268" t="str">
        <f>IF(Expense_Input!B268="","",Expense_Input!B268)</f>
        <v/>
      </c>
      <c r="C268" t="str">
        <f t="shared" si="28"/>
        <v/>
      </c>
      <c r="D268" t="str">
        <f>IF(Expense_Input!C268="","",Expense_Input!C268)</f>
        <v/>
      </c>
      <c r="E268" s="4" t="str">
        <f>IF(Expense_Input!D268="","",Expense_Input!D268)</f>
        <v/>
      </c>
      <c r="F268" t="str">
        <f>IF(Expense_Input!E268="","",Expense_Input!E268)</f>
        <v/>
      </c>
      <c r="G268" t="str">
        <f>IF(Expense_Input!H268="","",Expense_Input!H268)</f>
        <v/>
      </c>
      <c r="H268" t="str">
        <f>IF(Expense_Input!I268="","Auto",Expense_Input!I268)</f>
        <v>Auto</v>
      </c>
      <c r="I268" t="str">
        <f>IF(F268="","",IFERROR(VLOOKUP(F268,Sales_Tax_Settings!$A$15:$B$27,2,FALSE),"Tax Unknown"))</f>
        <v/>
      </c>
      <c r="J268" t="str">
        <f t="shared" si="29"/>
        <v/>
      </c>
      <c r="K268" t="str">
        <f>IF(AND(Sales_Tax_Settings!$B$5="Yes",G268="Personal Expense",J268="Taxable"),"Yes","No")</f>
        <v>No</v>
      </c>
      <c r="L268" s="4">
        <f t="shared" si="30"/>
        <v>0</v>
      </c>
      <c r="M268" s="4">
        <f t="shared" si="31"/>
        <v>0</v>
      </c>
      <c r="N268" s="4">
        <f t="shared" si="32"/>
        <v>0</v>
      </c>
      <c r="O268" s="4">
        <f t="shared" si="33"/>
        <v>0</v>
      </c>
      <c r="P268" s="4">
        <f>IF(K268&lt;&gt;"Yes",0,IF(Sales_Tax_Settings!$B$6="Yes",E268/(1+Sales_Tax_Settings!$B$10),E268))</f>
        <v>0</v>
      </c>
      <c r="Q268" s="4">
        <f>IF(K268&lt;&gt;"Yes",0,P268*Sales_Tax_Settings!$B$8)</f>
        <v>0</v>
      </c>
      <c r="R268" s="4">
        <f>IF(K268&lt;&gt;"Yes",0,P268*Sales_Tax_Settings!$B$9)</f>
        <v>0</v>
      </c>
      <c r="S268" s="4">
        <f t="shared" si="34"/>
        <v>0</v>
      </c>
    </row>
    <row r="269" spans="1:19" x14ac:dyDescent="0.3">
      <c r="A269" t="str">
        <f>IF(Expense_Input!A269="","",Expense_Input!A269)</f>
        <v/>
      </c>
      <c r="B269" t="str">
        <f>IF(Expense_Input!B269="","",Expense_Input!B269)</f>
        <v/>
      </c>
      <c r="C269" t="str">
        <f t="shared" si="28"/>
        <v/>
      </c>
      <c r="D269" t="str">
        <f>IF(Expense_Input!C269="","",Expense_Input!C269)</f>
        <v/>
      </c>
      <c r="E269" s="4" t="str">
        <f>IF(Expense_Input!D269="","",Expense_Input!D269)</f>
        <v/>
      </c>
      <c r="F269" t="str">
        <f>IF(Expense_Input!E269="","",Expense_Input!E269)</f>
        <v/>
      </c>
      <c r="G269" t="str">
        <f>IF(Expense_Input!H269="","",Expense_Input!H269)</f>
        <v/>
      </c>
      <c r="H269" t="str">
        <f>IF(Expense_Input!I269="","Auto",Expense_Input!I269)</f>
        <v>Auto</v>
      </c>
      <c r="I269" t="str">
        <f>IF(F269="","",IFERROR(VLOOKUP(F269,Sales_Tax_Settings!$A$15:$B$27,2,FALSE),"Tax Unknown"))</f>
        <v/>
      </c>
      <c r="J269" t="str">
        <f t="shared" si="29"/>
        <v/>
      </c>
      <c r="K269" t="str">
        <f>IF(AND(Sales_Tax_Settings!$B$5="Yes",G269="Personal Expense",J269="Taxable"),"Yes","No")</f>
        <v>No</v>
      </c>
      <c r="L269" s="4">
        <f t="shared" si="30"/>
        <v>0</v>
      </c>
      <c r="M269" s="4">
        <f t="shared" si="31"/>
        <v>0</v>
      </c>
      <c r="N269" s="4">
        <f t="shared" si="32"/>
        <v>0</v>
      </c>
      <c r="O269" s="4">
        <f t="shared" si="33"/>
        <v>0</v>
      </c>
      <c r="P269" s="4">
        <f>IF(K269&lt;&gt;"Yes",0,IF(Sales_Tax_Settings!$B$6="Yes",E269/(1+Sales_Tax_Settings!$B$10),E269))</f>
        <v>0</v>
      </c>
      <c r="Q269" s="4">
        <f>IF(K269&lt;&gt;"Yes",0,P269*Sales_Tax_Settings!$B$8)</f>
        <v>0</v>
      </c>
      <c r="R269" s="4">
        <f>IF(K269&lt;&gt;"Yes",0,P269*Sales_Tax_Settings!$B$9)</f>
        <v>0</v>
      </c>
      <c r="S269" s="4">
        <f t="shared" si="34"/>
        <v>0</v>
      </c>
    </row>
    <row r="270" spans="1:19" x14ac:dyDescent="0.3">
      <c r="A270" t="str">
        <f>IF(Expense_Input!A270="","",Expense_Input!A270)</f>
        <v/>
      </c>
      <c r="B270" t="str">
        <f>IF(Expense_Input!B270="","",Expense_Input!B270)</f>
        <v/>
      </c>
      <c r="C270" t="str">
        <f t="shared" si="28"/>
        <v/>
      </c>
      <c r="D270" t="str">
        <f>IF(Expense_Input!C270="","",Expense_Input!C270)</f>
        <v/>
      </c>
      <c r="E270" s="4" t="str">
        <f>IF(Expense_Input!D270="","",Expense_Input!D270)</f>
        <v/>
      </c>
      <c r="F270" t="str">
        <f>IF(Expense_Input!E270="","",Expense_Input!E270)</f>
        <v/>
      </c>
      <c r="G270" t="str">
        <f>IF(Expense_Input!H270="","",Expense_Input!H270)</f>
        <v/>
      </c>
      <c r="H270" t="str">
        <f>IF(Expense_Input!I270="","Auto",Expense_Input!I270)</f>
        <v>Auto</v>
      </c>
      <c r="I270" t="str">
        <f>IF(F270="","",IFERROR(VLOOKUP(F270,Sales_Tax_Settings!$A$15:$B$27,2,FALSE),"Tax Unknown"))</f>
        <v/>
      </c>
      <c r="J270" t="str">
        <f t="shared" si="29"/>
        <v/>
      </c>
      <c r="K270" t="str">
        <f>IF(AND(Sales_Tax_Settings!$B$5="Yes",G270="Personal Expense",J270="Taxable"),"Yes","No")</f>
        <v>No</v>
      </c>
      <c r="L270" s="4">
        <f t="shared" si="30"/>
        <v>0</v>
      </c>
      <c r="M270" s="4">
        <f t="shared" si="31"/>
        <v>0</v>
      </c>
      <c r="N270" s="4">
        <f t="shared" si="32"/>
        <v>0</v>
      </c>
      <c r="O270" s="4">
        <f t="shared" si="33"/>
        <v>0</v>
      </c>
      <c r="P270" s="4">
        <f>IF(K270&lt;&gt;"Yes",0,IF(Sales_Tax_Settings!$B$6="Yes",E270/(1+Sales_Tax_Settings!$B$10),E270))</f>
        <v>0</v>
      </c>
      <c r="Q270" s="4">
        <f>IF(K270&lt;&gt;"Yes",0,P270*Sales_Tax_Settings!$B$8)</f>
        <v>0</v>
      </c>
      <c r="R270" s="4">
        <f>IF(K270&lt;&gt;"Yes",0,P270*Sales_Tax_Settings!$B$9)</f>
        <v>0</v>
      </c>
      <c r="S270" s="4">
        <f t="shared" si="34"/>
        <v>0</v>
      </c>
    </row>
    <row r="271" spans="1:19" x14ac:dyDescent="0.3">
      <c r="A271" t="str">
        <f>IF(Expense_Input!A271="","",Expense_Input!A271)</f>
        <v/>
      </c>
      <c r="B271" t="str">
        <f>IF(Expense_Input!B271="","",Expense_Input!B271)</f>
        <v/>
      </c>
      <c r="C271" t="str">
        <f t="shared" si="28"/>
        <v/>
      </c>
      <c r="D271" t="str">
        <f>IF(Expense_Input!C271="","",Expense_Input!C271)</f>
        <v/>
      </c>
      <c r="E271" s="4" t="str">
        <f>IF(Expense_Input!D271="","",Expense_Input!D271)</f>
        <v/>
      </c>
      <c r="F271" t="str">
        <f>IF(Expense_Input!E271="","",Expense_Input!E271)</f>
        <v/>
      </c>
      <c r="G271" t="str">
        <f>IF(Expense_Input!H271="","",Expense_Input!H271)</f>
        <v/>
      </c>
      <c r="H271" t="str">
        <f>IF(Expense_Input!I271="","Auto",Expense_Input!I271)</f>
        <v>Auto</v>
      </c>
      <c r="I271" t="str">
        <f>IF(F271="","",IFERROR(VLOOKUP(F271,Sales_Tax_Settings!$A$15:$B$27,2,FALSE),"Tax Unknown"))</f>
        <v/>
      </c>
      <c r="J271" t="str">
        <f t="shared" si="29"/>
        <v/>
      </c>
      <c r="K271" t="str">
        <f>IF(AND(Sales_Tax_Settings!$B$5="Yes",G271="Personal Expense",J271="Taxable"),"Yes","No")</f>
        <v>No</v>
      </c>
      <c r="L271" s="4">
        <f t="shared" si="30"/>
        <v>0</v>
      </c>
      <c r="M271" s="4">
        <f t="shared" si="31"/>
        <v>0</v>
      </c>
      <c r="N271" s="4">
        <f t="shared" si="32"/>
        <v>0</v>
      </c>
      <c r="O271" s="4">
        <f t="shared" si="33"/>
        <v>0</v>
      </c>
      <c r="P271" s="4">
        <f>IF(K271&lt;&gt;"Yes",0,IF(Sales_Tax_Settings!$B$6="Yes",E271/(1+Sales_Tax_Settings!$B$10),E271))</f>
        <v>0</v>
      </c>
      <c r="Q271" s="4">
        <f>IF(K271&lt;&gt;"Yes",0,P271*Sales_Tax_Settings!$B$8)</f>
        <v>0</v>
      </c>
      <c r="R271" s="4">
        <f>IF(K271&lt;&gt;"Yes",0,P271*Sales_Tax_Settings!$B$9)</f>
        <v>0</v>
      </c>
      <c r="S271" s="4">
        <f t="shared" si="34"/>
        <v>0</v>
      </c>
    </row>
    <row r="272" spans="1:19" x14ac:dyDescent="0.3">
      <c r="A272" t="str">
        <f>IF(Expense_Input!A272="","",Expense_Input!A272)</f>
        <v/>
      </c>
      <c r="B272" t="str">
        <f>IF(Expense_Input!B272="","",Expense_Input!B272)</f>
        <v/>
      </c>
      <c r="C272" t="str">
        <f t="shared" si="28"/>
        <v/>
      </c>
      <c r="D272" t="str">
        <f>IF(Expense_Input!C272="","",Expense_Input!C272)</f>
        <v/>
      </c>
      <c r="E272" s="4" t="str">
        <f>IF(Expense_Input!D272="","",Expense_Input!D272)</f>
        <v/>
      </c>
      <c r="F272" t="str">
        <f>IF(Expense_Input!E272="","",Expense_Input!E272)</f>
        <v/>
      </c>
      <c r="G272" t="str">
        <f>IF(Expense_Input!H272="","",Expense_Input!H272)</f>
        <v/>
      </c>
      <c r="H272" t="str">
        <f>IF(Expense_Input!I272="","Auto",Expense_Input!I272)</f>
        <v>Auto</v>
      </c>
      <c r="I272" t="str">
        <f>IF(F272="","",IFERROR(VLOOKUP(F272,Sales_Tax_Settings!$A$15:$B$27,2,FALSE),"Tax Unknown"))</f>
        <v/>
      </c>
      <c r="J272" t="str">
        <f t="shared" si="29"/>
        <v/>
      </c>
      <c r="K272" t="str">
        <f>IF(AND(Sales_Tax_Settings!$B$5="Yes",G272="Personal Expense",J272="Taxable"),"Yes","No")</f>
        <v>No</v>
      </c>
      <c r="L272" s="4">
        <f t="shared" si="30"/>
        <v>0</v>
      </c>
      <c r="M272" s="4">
        <f t="shared" si="31"/>
        <v>0</v>
      </c>
      <c r="N272" s="4">
        <f t="shared" si="32"/>
        <v>0</v>
      </c>
      <c r="O272" s="4">
        <f t="shared" si="33"/>
        <v>0</v>
      </c>
      <c r="P272" s="4">
        <f>IF(K272&lt;&gt;"Yes",0,IF(Sales_Tax_Settings!$B$6="Yes",E272/(1+Sales_Tax_Settings!$B$10),E272))</f>
        <v>0</v>
      </c>
      <c r="Q272" s="4">
        <f>IF(K272&lt;&gt;"Yes",0,P272*Sales_Tax_Settings!$B$8)</f>
        <v>0</v>
      </c>
      <c r="R272" s="4">
        <f>IF(K272&lt;&gt;"Yes",0,P272*Sales_Tax_Settings!$B$9)</f>
        <v>0</v>
      </c>
      <c r="S272" s="4">
        <f t="shared" si="34"/>
        <v>0</v>
      </c>
    </row>
    <row r="273" spans="1:19" x14ac:dyDescent="0.3">
      <c r="A273" t="str">
        <f>IF(Expense_Input!A273="","",Expense_Input!A273)</f>
        <v/>
      </c>
      <c r="B273" t="str">
        <f>IF(Expense_Input!B273="","",Expense_Input!B273)</f>
        <v/>
      </c>
      <c r="C273" t="str">
        <f t="shared" si="28"/>
        <v/>
      </c>
      <c r="D273" t="str">
        <f>IF(Expense_Input!C273="","",Expense_Input!C273)</f>
        <v/>
      </c>
      <c r="E273" s="4" t="str">
        <f>IF(Expense_Input!D273="","",Expense_Input!D273)</f>
        <v/>
      </c>
      <c r="F273" t="str">
        <f>IF(Expense_Input!E273="","",Expense_Input!E273)</f>
        <v/>
      </c>
      <c r="G273" t="str">
        <f>IF(Expense_Input!H273="","",Expense_Input!H273)</f>
        <v/>
      </c>
      <c r="H273" t="str">
        <f>IF(Expense_Input!I273="","Auto",Expense_Input!I273)</f>
        <v>Auto</v>
      </c>
      <c r="I273" t="str">
        <f>IF(F273="","",IFERROR(VLOOKUP(F273,Sales_Tax_Settings!$A$15:$B$27,2,FALSE),"Tax Unknown"))</f>
        <v/>
      </c>
      <c r="J273" t="str">
        <f t="shared" si="29"/>
        <v/>
      </c>
      <c r="K273" t="str">
        <f>IF(AND(Sales_Tax_Settings!$B$5="Yes",G273="Personal Expense",J273="Taxable"),"Yes","No")</f>
        <v>No</v>
      </c>
      <c r="L273" s="4">
        <f t="shared" si="30"/>
        <v>0</v>
      </c>
      <c r="M273" s="4">
        <f t="shared" si="31"/>
        <v>0</v>
      </c>
      <c r="N273" s="4">
        <f t="shared" si="32"/>
        <v>0</v>
      </c>
      <c r="O273" s="4">
        <f t="shared" si="33"/>
        <v>0</v>
      </c>
      <c r="P273" s="4">
        <f>IF(K273&lt;&gt;"Yes",0,IF(Sales_Tax_Settings!$B$6="Yes",E273/(1+Sales_Tax_Settings!$B$10),E273))</f>
        <v>0</v>
      </c>
      <c r="Q273" s="4">
        <f>IF(K273&lt;&gt;"Yes",0,P273*Sales_Tax_Settings!$B$8)</f>
        <v>0</v>
      </c>
      <c r="R273" s="4">
        <f>IF(K273&lt;&gt;"Yes",0,P273*Sales_Tax_Settings!$B$9)</f>
        <v>0</v>
      </c>
      <c r="S273" s="4">
        <f t="shared" si="34"/>
        <v>0</v>
      </c>
    </row>
    <row r="274" spans="1:19" x14ac:dyDescent="0.3">
      <c r="A274" t="str">
        <f>IF(Expense_Input!A274="","",Expense_Input!A274)</f>
        <v/>
      </c>
      <c r="B274" t="str">
        <f>IF(Expense_Input!B274="","",Expense_Input!B274)</f>
        <v/>
      </c>
      <c r="C274" t="str">
        <f t="shared" si="28"/>
        <v/>
      </c>
      <c r="D274" t="str">
        <f>IF(Expense_Input!C274="","",Expense_Input!C274)</f>
        <v/>
      </c>
      <c r="E274" s="4" t="str">
        <f>IF(Expense_Input!D274="","",Expense_Input!D274)</f>
        <v/>
      </c>
      <c r="F274" t="str">
        <f>IF(Expense_Input!E274="","",Expense_Input!E274)</f>
        <v/>
      </c>
      <c r="G274" t="str">
        <f>IF(Expense_Input!H274="","",Expense_Input!H274)</f>
        <v/>
      </c>
      <c r="H274" t="str">
        <f>IF(Expense_Input!I274="","Auto",Expense_Input!I274)</f>
        <v>Auto</v>
      </c>
      <c r="I274" t="str">
        <f>IF(F274="","",IFERROR(VLOOKUP(F274,Sales_Tax_Settings!$A$15:$B$27,2,FALSE),"Tax Unknown"))</f>
        <v/>
      </c>
      <c r="J274" t="str">
        <f t="shared" si="29"/>
        <v/>
      </c>
      <c r="K274" t="str">
        <f>IF(AND(Sales_Tax_Settings!$B$5="Yes",G274="Personal Expense",J274="Taxable"),"Yes","No")</f>
        <v>No</v>
      </c>
      <c r="L274" s="4">
        <f t="shared" si="30"/>
        <v>0</v>
      </c>
      <c r="M274" s="4">
        <f t="shared" si="31"/>
        <v>0</v>
      </c>
      <c r="N274" s="4">
        <f t="shared" si="32"/>
        <v>0</v>
      </c>
      <c r="O274" s="4">
        <f t="shared" si="33"/>
        <v>0</v>
      </c>
      <c r="P274" s="4">
        <f>IF(K274&lt;&gt;"Yes",0,IF(Sales_Tax_Settings!$B$6="Yes",E274/(1+Sales_Tax_Settings!$B$10),E274))</f>
        <v>0</v>
      </c>
      <c r="Q274" s="4">
        <f>IF(K274&lt;&gt;"Yes",0,P274*Sales_Tax_Settings!$B$8)</f>
        <v>0</v>
      </c>
      <c r="R274" s="4">
        <f>IF(K274&lt;&gt;"Yes",0,P274*Sales_Tax_Settings!$B$9)</f>
        <v>0</v>
      </c>
      <c r="S274" s="4">
        <f t="shared" si="34"/>
        <v>0</v>
      </c>
    </row>
    <row r="275" spans="1:19" x14ac:dyDescent="0.3">
      <c r="A275" t="str">
        <f>IF(Expense_Input!A275="","",Expense_Input!A275)</f>
        <v/>
      </c>
      <c r="B275" t="str">
        <f>IF(Expense_Input!B275="","",Expense_Input!B275)</f>
        <v/>
      </c>
      <c r="C275" t="str">
        <f t="shared" si="28"/>
        <v/>
      </c>
      <c r="D275" t="str">
        <f>IF(Expense_Input!C275="","",Expense_Input!C275)</f>
        <v/>
      </c>
      <c r="E275" s="4" t="str">
        <f>IF(Expense_Input!D275="","",Expense_Input!D275)</f>
        <v/>
      </c>
      <c r="F275" t="str">
        <f>IF(Expense_Input!E275="","",Expense_Input!E275)</f>
        <v/>
      </c>
      <c r="G275" t="str">
        <f>IF(Expense_Input!H275="","",Expense_Input!H275)</f>
        <v/>
      </c>
      <c r="H275" t="str">
        <f>IF(Expense_Input!I275="","Auto",Expense_Input!I275)</f>
        <v>Auto</v>
      </c>
      <c r="I275" t="str">
        <f>IF(F275="","",IFERROR(VLOOKUP(F275,Sales_Tax_Settings!$A$15:$B$27,2,FALSE),"Tax Unknown"))</f>
        <v/>
      </c>
      <c r="J275" t="str">
        <f t="shared" si="29"/>
        <v/>
      </c>
      <c r="K275" t="str">
        <f>IF(AND(Sales_Tax_Settings!$B$5="Yes",G275="Personal Expense",J275="Taxable"),"Yes","No")</f>
        <v>No</v>
      </c>
      <c r="L275" s="4">
        <f t="shared" si="30"/>
        <v>0</v>
      </c>
      <c r="M275" s="4">
        <f t="shared" si="31"/>
        <v>0</v>
      </c>
      <c r="N275" s="4">
        <f t="shared" si="32"/>
        <v>0</v>
      </c>
      <c r="O275" s="4">
        <f t="shared" si="33"/>
        <v>0</v>
      </c>
      <c r="P275" s="4">
        <f>IF(K275&lt;&gt;"Yes",0,IF(Sales_Tax_Settings!$B$6="Yes",E275/(1+Sales_Tax_Settings!$B$10),E275))</f>
        <v>0</v>
      </c>
      <c r="Q275" s="4">
        <f>IF(K275&lt;&gt;"Yes",0,P275*Sales_Tax_Settings!$B$8)</f>
        <v>0</v>
      </c>
      <c r="R275" s="4">
        <f>IF(K275&lt;&gt;"Yes",0,P275*Sales_Tax_Settings!$B$9)</f>
        <v>0</v>
      </c>
      <c r="S275" s="4">
        <f t="shared" si="34"/>
        <v>0</v>
      </c>
    </row>
    <row r="276" spans="1:19" x14ac:dyDescent="0.3">
      <c r="A276" t="str">
        <f>IF(Expense_Input!A276="","",Expense_Input!A276)</f>
        <v/>
      </c>
      <c r="B276" t="str">
        <f>IF(Expense_Input!B276="","",Expense_Input!B276)</f>
        <v/>
      </c>
      <c r="C276" t="str">
        <f t="shared" si="28"/>
        <v/>
      </c>
      <c r="D276" t="str">
        <f>IF(Expense_Input!C276="","",Expense_Input!C276)</f>
        <v/>
      </c>
      <c r="E276" s="4" t="str">
        <f>IF(Expense_Input!D276="","",Expense_Input!D276)</f>
        <v/>
      </c>
      <c r="F276" t="str">
        <f>IF(Expense_Input!E276="","",Expense_Input!E276)</f>
        <v/>
      </c>
      <c r="G276" t="str">
        <f>IF(Expense_Input!H276="","",Expense_Input!H276)</f>
        <v/>
      </c>
      <c r="H276" t="str">
        <f>IF(Expense_Input!I276="","Auto",Expense_Input!I276)</f>
        <v>Auto</v>
      </c>
      <c r="I276" t="str">
        <f>IF(F276="","",IFERROR(VLOOKUP(F276,Sales_Tax_Settings!$A$15:$B$27,2,FALSE),"Tax Unknown"))</f>
        <v/>
      </c>
      <c r="J276" t="str">
        <f t="shared" si="29"/>
        <v/>
      </c>
      <c r="K276" t="str">
        <f>IF(AND(Sales_Tax_Settings!$B$5="Yes",G276="Personal Expense",J276="Taxable"),"Yes","No")</f>
        <v>No</v>
      </c>
      <c r="L276" s="4">
        <f t="shared" si="30"/>
        <v>0</v>
      </c>
      <c r="M276" s="4">
        <f t="shared" si="31"/>
        <v>0</v>
      </c>
      <c r="N276" s="4">
        <f t="shared" si="32"/>
        <v>0</v>
      </c>
      <c r="O276" s="4">
        <f t="shared" si="33"/>
        <v>0</v>
      </c>
      <c r="P276" s="4">
        <f>IF(K276&lt;&gt;"Yes",0,IF(Sales_Tax_Settings!$B$6="Yes",E276/(1+Sales_Tax_Settings!$B$10),E276))</f>
        <v>0</v>
      </c>
      <c r="Q276" s="4">
        <f>IF(K276&lt;&gt;"Yes",0,P276*Sales_Tax_Settings!$B$8)</f>
        <v>0</v>
      </c>
      <c r="R276" s="4">
        <f>IF(K276&lt;&gt;"Yes",0,P276*Sales_Tax_Settings!$B$9)</f>
        <v>0</v>
      </c>
      <c r="S276" s="4">
        <f t="shared" si="34"/>
        <v>0</v>
      </c>
    </row>
    <row r="277" spans="1:19" x14ac:dyDescent="0.3">
      <c r="A277" t="str">
        <f>IF(Expense_Input!A277="","",Expense_Input!A277)</f>
        <v/>
      </c>
      <c r="B277" t="str">
        <f>IF(Expense_Input!B277="","",Expense_Input!B277)</f>
        <v/>
      </c>
      <c r="C277" t="str">
        <f t="shared" si="28"/>
        <v/>
      </c>
      <c r="D277" t="str">
        <f>IF(Expense_Input!C277="","",Expense_Input!C277)</f>
        <v/>
      </c>
      <c r="E277" s="4" t="str">
        <f>IF(Expense_Input!D277="","",Expense_Input!D277)</f>
        <v/>
      </c>
      <c r="F277" t="str">
        <f>IF(Expense_Input!E277="","",Expense_Input!E277)</f>
        <v/>
      </c>
      <c r="G277" t="str">
        <f>IF(Expense_Input!H277="","",Expense_Input!H277)</f>
        <v/>
      </c>
      <c r="H277" t="str">
        <f>IF(Expense_Input!I277="","Auto",Expense_Input!I277)</f>
        <v>Auto</v>
      </c>
      <c r="I277" t="str">
        <f>IF(F277="","",IFERROR(VLOOKUP(F277,Sales_Tax_Settings!$A$15:$B$27,2,FALSE),"Tax Unknown"))</f>
        <v/>
      </c>
      <c r="J277" t="str">
        <f t="shared" si="29"/>
        <v/>
      </c>
      <c r="K277" t="str">
        <f>IF(AND(Sales_Tax_Settings!$B$5="Yes",G277="Personal Expense",J277="Taxable"),"Yes","No")</f>
        <v>No</v>
      </c>
      <c r="L277" s="4">
        <f t="shared" si="30"/>
        <v>0</v>
      </c>
      <c r="M277" s="4">
        <f t="shared" si="31"/>
        <v>0</v>
      </c>
      <c r="N277" s="4">
        <f t="shared" si="32"/>
        <v>0</v>
      </c>
      <c r="O277" s="4">
        <f t="shared" si="33"/>
        <v>0</v>
      </c>
      <c r="P277" s="4">
        <f>IF(K277&lt;&gt;"Yes",0,IF(Sales_Tax_Settings!$B$6="Yes",E277/(1+Sales_Tax_Settings!$B$10),E277))</f>
        <v>0</v>
      </c>
      <c r="Q277" s="4">
        <f>IF(K277&lt;&gt;"Yes",0,P277*Sales_Tax_Settings!$B$8)</f>
        <v>0</v>
      </c>
      <c r="R277" s="4">
        <f>IF(K277&lt;&gt;"Yes",0,P277*Sales_Tax_Settings!$B$9)</f>
        <v>0</v>
      </c>
      <c r="S277" s="4">
        <f t="shared" si="34"/>
        <v>0</v>
      </c>
    </row>
    <row r="278" spans="1:19" x14ac:dyDescent="0.3">
      <c r="A278" t="str">
        <f>IF(Expense_Input!A278="","",Expense_Input!A278)</f>
        <v/>
      </c>
      <c r="B278" t="str">
        <f>IF(Expense_Input!B278="","",Expense_Input!B278)</f>
        <v/>
      </c>
      <c r="C278" t="str">
        <f t="shared" si="28"/>
        <v/>
      </c>
      <c r="D278" t="str">
        <f>IF(Expense_Input!C278="","",Expense_Input!C278)</f>
        <v/>
      </c>
      <c r="E278" s="4" t="str">
        <f>IF(Expense_Input!D278="","",Expense_Input!D278)</f>
        <v/>
      </c>
      <c r="F278" t="str">
        <f>IF(Expense_Input!E278="","",Expense_Input!E278)</f>
        <v/>
      </c>
      <c r="G278" t="str">
        <f>IF(Expense_Input!H278="","",Expense_Input!H278)</f>
        <v/>
      </c>
      <c r="H278" t="str">
        <f>IF(Expense_Input!I278="","Auto",Expense_Input!I278)</f>
        <v>Auto</v>
      </c>
      <c r="I278" t="str">
        <f>IF(F278="","",IFERROR(VLOOKUP(F278,Sales_Tax_Settings!$A$15:$B$27,2,FALSE),"Tax Unknown"))</f>
        <v/>
      </c>
      <c r="J278" t="str">
        <f t="shared" si="29"/>
        <v/>
      </c>
      <c r="K278" t="str">
        <f>IF(AND(Sales_Tax_Settings!$B$5="Yes",G278="Personal Expense",J278="Taxable"),"Yes","No")</f>
        <v>No</v>
      </c>
      <c r="L278" s="4">
        <f t="shared" si="30"/>
        <v>0</v>
      </c>
      <c r="M278" s="4">
        <f t="shared" si="31"/>
        <v>0</v>
      </c>
      <c r="N278" s="4">
        <f t="shared" si="32"/>
        <v>0</v>
      </c>
      <c r="O278" s="4">
        <f t="shared" si="33"/>
        <v>0</v>
      </c>
      <c r="P278" s="4">
        <f>IF(K278&lt;&gt;"Yes",0,IF(Sales_Tax_Settings!$B$6="Yes",E278/(1+Sales_Tax_Settings!$B$10),E278))</f>
        <v>0</v>
      </c>
      <c r="Q278" s="4">
        <f>IF(K278&lt;&gt;"Yes",0,P278*Sales_Tax_Settings!$B$8)</f>
        <v>0</v>
      </c>
      <c r="R278" s="4">
        <f>IF(K278&lt;&gt;"Yes",0,P278*Sales_Tax_Settings!$B$9)</f>
        <v>0</v>
      </c>
      <c r="S278" s="4">
        <f t="shared" si="34"/>
        <v>0</v>
      </c>
    </row>
    <row r="279" spans="1:19" x14ac:dyDescent="0.3">
      <c r="A279" t="str">
        <f>IF(Expense_Input!A279="","",Expense_Input!A279)</f>
        <v/>
      </c>
      <c r="B279" t="str">
        <f>IF(Expense_Input!B279="","",Expense_Input!B279)</f>
        <v/>
      </c>
      <c r="C279" t="str">
        <f t="shared" si="28"/>
        <v/>
      </c>
      <c r="D279" t="str">
        <f>IF(Expense_Input!C279="","",Expense_Input!C279)</f>
        <v/>
      </c>
      <c r="E279" s="4" t="str">
        <f>IF(Expense_Input!D279="","",Expense_Input!D279)</f>
        <v/>
      </c>
      <c r="F279" t="str">
        <f>IF(Expense_Input!E279="","",Expense_Input!E279)</f>
        <v/>
      </c>
      <c r="G279" t="str">
        <f>IF(Expense_Input!H279="","",Expense_Input!H279)</f>
        <v/>
      </c>
      <c r="H279" t="str">
        <f>IF(Expense_Input!I279="","Auto",Expense_Input!I279)</f>
        <v>Auto</v>
      </c>
      <c r="I279" t="str">
        <f>IF(F279="","",IFERROR(VLOOKUP(F279,Sales_Tax_Settings!$A$15:$B$27,2,FALSE),"Tax Unknown"))</f>
        <v/>
      </c>
      <c r="J279" t="str">
        <f t="shared" si="29"/>
        <v/>
      </c>
      <c r="K279" t="str">
        <f>IF(AND(Sales_Tax_Settings!$B$5="Yes",G279="Personal Expense",J279="Taxable"),"Yes","No")</f>
        <v>No</v>
      </c>
      <c r="L279" s="4">
        <f t="shared" si="30"/>
        <v>0</v>
      </c>
      <c r="M279" s="4">
        <f t="shared" si="31"/>
        <v>0</v>
      </c>
      <c r="N279" s="4">
        <f t="shared" si="32"/>
        <v>0</v>
      </c>
      <c r="O279" s="4">
        <f t="shared" si="33"/>
        <v>0</v>
      </c>
      <c r="P279" s="4">
        <f>IF(K279&lt;&gt;"Yes",0,IF(Sales_Tax_Settings!$B$6="Yes",E279/(1+Sales_Tax_Settings!$B$10),E279))</f>
        <v>0</v>
      </c>
      <c r="Q279" s="4">
        <f>IF(K279&lt;&gt;"Yes",0,P279*Sales_Tax_Settings!$B$8)</f>
        <v>0</v>
      </c>
      <c r="R279" s="4">
        <f>IF(K279&lt;&gt;"Yes",0,P279*Sales_Tax_Settings!$B$9)</f>
        <v>0</v>
      </c>
      <c r="S279" s="4">
        <f t="shared" si="34"/>
        <v>0</v>
      </c>
    </row>
    <row r="280" spans="1:19" x14ac:dyDescent="0.3">
      <c r="A280" t="str">
        <f>IF(Expense_Input!A280="","",Expense_Input!A280)</f>
        <v/>
      </c>
      <c r="B280" t="str">
        <f>IF(Expense_Input!B280="","",Expense_Input!B280)</f>
        <v/>
      </c>
      <c r="C280" t="str">
        <f t="shared" si="28"/>
        <v/>
      </c>
      <c r="D280" t="str">
        <f>IF(Expense_Input!C280="","",Expense_Input!C280)</f>
        <v/>
      </c>
      <c r="E280" s="4" t="str">
        <f>IF(Expense_Input!D280="","",Expense_Input!D280)</f>
        <v/>
      </c>
      <c r="F280" t="str">
        <f>IF(Expense_Input!E280="","",Expense_Input!E280)</f>
        <v/>
      </c>
      <c r="G280" t="str">
        <f>IF(Expense_Input!H280="","",Expense_Input!H280)</f>
        <v/>
      </c>
      <c r="H280" t="str">
        <f>IF(Expense_Input!I280="","Auto",Expense_Input!I280)</f>
        <v>Auto</v>
      </c>
      <c r="I280" t="str">
        <f>IF(F280="","",IFERROR(VLOOKUP(F280,Sales_Tax_Settings!$A$15:$B$27,2,FALSE),"Tax Unknown"))</f>
        <v/>
      </c>
      <c r="J280" t="str">
        <f t="shared" si="29"/>
        <v/>
      </c>
      <c r="K280" t="str">
        <f>IF(AND(Sales_Tax_Settings!$B$5="Yes",G280="Personal Expense",J280="Taxable"),"Yes","No")</f>
        <v>No</v>
      </c>
      <c r="L280" s="4">
        <f t="shared" si="30"/>
        <v>0</v>
      </c>
      <c r="M280" s="4">
        <f t="shared" si="31"/>
        <v>0</v>
      </c>
      <c r="N280" s="4">
        <f t="shared" si="32"/>
        <v>0</v>
      </c>
      <c r="O280" s="4">
        <f t="shared" si="33"/>
        <v>0</v>
      </c>
      <c r="P280" s="4">
        <f>IF(K280&lt;&gt;"Yes",0,IF(Sales_Tax_Settings!$B$6="Yes",E280/(1+Sales_Tax_Settings!$B$10),E280))</f>
        <v>0</v>
      </c>
      <c r="Q280" s="4">
        <f>IF(K280&lt;&gt;"Yes",0,P280*Sales_Tax_Settings!$B$8)</f>
        <v>0</v>
      </c>
      <c r="R280" s="4">
        <f>IF(K280&lt;&gt;"Yes",0,P280*Sales_Tax_Settings!$B$9)</f>
        <v>0</v>
      </c>
      <c r="S280" s="4">
        <f t="shared" si="34"/>
        <v>0</v>
      </c>
    </row>
    <row r="281" spans="1:19" x14ac:dyDescent="0.3">
      <c r="A281" t="str">
        <f>IF(Expense_Input!A281="","",Expense_Input!A281)</f>
        <v/>
      </c>
      <c r="B281" t="str">
        <f>IF(Expense_Input!B281="","",Expense_Input!B281)</f>
        <v/>
      </c>
      <c r="C281" t="str">
        <f t="shared" si="28"/>
        <v/>
      </c>
      <c r="D281" t="str">
        <f>IF(Expense_Input!C281="","",Expense_Input!C281)</f>
        <v/>
      </c>
      <c r="E281" s="4" t="str">
        <f>IF(Expense_Input!D281="","",Expense_Input!D281)</f>
        <v/>
      </c>
      <c r="F281" t="str">
        <f>IF(Expense_Input!E281="","",Expense_Input!E281)</f>
        <v/>
      </c>
      <c r="G281" t="str">
        <f>IF(Expense_Input!H281="","",Expense_Input!H281)</f>
        <v/>
      </c>
      <c r="H281" t="str">
        <f>IF(Expense_Input!I281="","Auto",Expense_Input!I281)</f>
        <v>Auto</v>
      </c>
      <c r="I281" t="str">
        <f>IF(F281="","",IFERROR(VLOOKUP(F281,Sales_Tax_Settings!$A$15:$B$27,2,FALSE),"Tax Unknown"))</f>
        <v/>
      </c>
      <c r="J281" t="str">
        <f t="shared" si="29"/>
        <v/>
      </c>
      <c r="K281" t="str">
        <f>IF(AND(Sales_Tax_Settings!$B$5="Yes",G281="Personal Expense",J281="Taxable"),"Yes","No")</f>
        <v>No</v>
      </c>
      <c r="L281" s="4">
        <f t="shared" si="30"/>
        <v>0</v>
      </c>
      <c r="M281" s="4">
        <f t="shared" si="31"/>
        <v>0</v>
      </c>
      <c r="N281" s="4">
        <f t="shared" si="32"/>
        <v>0</v>
      </c>
      <c r="O281" s="4">
        <f t="shared" si="33"/>
        <v>0</v>
      </c>
      <c r="P281" s="4">
        <f>IF(K281&lt;&gt;"Yes",0,IF(Sales_Tax_Settings!$B$6="Yes",E281/(1+Sales_Tax_Settings!$B$10),E281))</f>
        <v>0</v>
      </c>
      <c r="Q281" s="4">
        <f>IF(K281&lt;&gt;"Yes",0,P281*Sales_Tax_Settings!$B$8)</f>
        <v>0</v>
      </c>
      <c r="R281" s="4">
        <f>IF(K281&lt;&gt;"Yes",0,P281*Sales_Tax_Settings!$B$9)</f>
        <v>0</v>
      </c>
      <c r="S281" s="4">
        <f t="shared" si="34"/>
        <v>0</v>
      </c>
    </row>
    <row r="282" spans="1:19" x14ac:dyDescent="0.3">
      <c r="A282" t="str">
        <f>IF(Expense_Input!A282="","",Expense_Input!A282)</f>
        <v/>
      </c>
      <c r="B282" t="str">
        <f>IF(Expense_Input!B282="","",Expense_Input!B282)</f>
        <v/>
      </c>
      <c r="C282" t="str">
        <f t="shared" si="28"/>
        <v/>
      </c>
      <c r="D282" t="str">
        <f>IF(Expense_Input!C282="","",Expense_Input!C282)</f>
        <v/>
      </c>
      <c r="E282" s="4" t="str">
        <f>IF(Expense_Input!D282="","",Expense_Input!D282)</f>
        <v/>
      </c>
      <c r="F282" t="str">
        <f>IF(Expense_Input!E282="","",Expense_Input!E282)</f>
        <v/>
      </c>
      <c r="G282" t="str">
        <f>IF(Expense_Input!H282="","",Expense_Input!H282)</f>
        <v/>
      </c>
      <c r="H282" t="str">
        <f>IF(Expense_Input!I282="","Auto",Expense_Input!I282)</f>
        <v>Auto</v>
      </c>
      <c r="I282" t="str">
        <f>IF(F282="","",IFERROR(VLOOKUP(F282,Sales_Tax_Settings!$A$15:$B$27,2,FALSE),"Tax Unknown"))</f>
        <v/>
      </c>
      <c r="J282" t="str">
        <f t="shared" si="29"/>
        <v/>
      </c>
      <c r="K282" t="str">
        <f>IF(AND(Sales_Tax_Settings!$B$5="Yes",G282="Personal Expense",J282="Taxable"),"Yes","No")</f>
        <v>No</v>
      </c>
      <c r="L282" s="4">
        <f t="shared" si="30"/>
        <v>0</v>
      </c>
      <c r="M282" s="4">
        <f t="shared" si="31"/>
        <v>0</v>
      </c>
      <c r="N282" s="4">
        <f t="shared" si="32"/>
        <v>0</v>
      </c>
      <c r="O282" s="4">
        <f t="shared" si="33"/>
        <v>0</v>
      </c>
      <c r="P282" s="4">
        <f>IF(K282&lt;&gt;"Yes",0,IF(Sales_Tax_Settings!$B$6="Yes",E282/(1+Sales_Tax_Settings!$B$10),E282))</f>
        <v>0</v>
      </c>
      <c r="Q282" s="4">
        <f>IF(K282&lt;&gt;"Yes",0,P282*Sales_Tax_Settings!$B$8)</f>
        <v>0</v>
      </c>
      <c r="R282" s="4">
        <f>IF(K282&lt;&gt;"Yes",0,P282*Sales_Tax_Settings!$B$9)</f>
        <v>0</v>
      </c>
      <c r="S282" s="4">
        <f t="shared" si="34"/>
        <v>0</v>
      </c>
    </row>
    <row r="283" spans="1:19" x14ac:dyDescent="0.3">
      <c r="A283" t="str">
        <f>IF(Expense_Input!A283="","",Expense_Input!A283)</f>
        <v/>
      </c>
      <c r="B283" t="str">
        <f>IF(Expense_Input!B283="","",Expense_Input!B283)</f>
        <v/>
      </c>
      <c r="C283" t="str">
        <f t="shared" si="28"/>
        <v/>
      </c>
      <c r="D283" t="str">
        <f>IF(Expense_Input!C283="","",Expense_Input!C283)</f>
        <v/>
      </c>
      <c r="E283" s="4" t="str">
        <f>IF(Expense_Input!D283="","",Expense_Input!D283)</f>
        <v/>
      </c>
      <c r="F283" t="str">
        <f>IF(Expense_Input!E283="","",Expense_Input!E283)</f>
        <v/>
      </c>
      <c r="G283" t="str">
        <f>IF(Expense_Input!H283="","",Expense_Input!H283)</f>
        <v/>
      </c>
      <c r="H283" t="str">
        <f>IF(Expense_Input!I283="","Auto",Expense_Input!I283)</f>
        <v>Auto</v>
      </c>
      <c r="I283" t="str">
        <f>IF(F283="","",IFERROR(VLOOKUP(F283,Sales_Tax_Settings!$A$15:$B$27,2,FALSE),"Tax Unknown"))</f>
        <v/>
      </c>
      <c r="J283" t="str">
        <f t="shared" si="29"/>
        <v/>
      </c>
      <c r="K283" t="str">
        <f>IF(AND(Sales_Tax_Settings!$B$5="Yes",G283="Personal Expense",J283="Taxable"),"Yes","No")</f>
        <v>No</v>
      </c>
      <c r="L283" s="4">
        <f t="shared" si="30"/>
        <v>0</v>
      </c>
      <c r="M283" s="4">
        <f t="shared" si="31"/>
        <v>0</v>
      </c>
      <c r="N283" s="4">
        <f t="shared" si="32"/>
        <v>0</v>
      </c>
      <c r="O283" s="4">
        <f t="shared" si="33"/>
        <v>0</v>
      </c>
      <c r="P283" s="4">
        <f>IF(K283&lt;&gt;"Yes",0,IF(Sales_Tax_Settings!$B$6="Yes",E283/(1+Sales_Tax_Settings!$B$10),E283))</f>
        <v>0</v>
      </c>
      <c r="Q283" s="4">
        <f>IF(K283&lt;&gt;"Yes",0,P283*Sales_Tax_Settings!$B$8)</f>
        <v>0</v>
      </c>
      <c r="R283" s="4">
        <f>IF(K283&lt;&gt;"Yes",0,P283*Sales_Tax_Settings!$B$9)</f>
        <v>0</v>
      </c>
      <c r="S283" s="4">
        <f t="shared" si="34"/>
        <v>0</v>
      </c>
    </row>
    <row r="284" spans="1:19" x14ac:dyDescent="0.3">
      <c r="A284" t="str">
        <f>IF(Expense_Input!A284="","",Expense_Input!A284)</f>
        <v/>
      </c>
      <c r="B284" t="str">
        <f>IF(Expense_Input!B284="","",Expense_Input!B284)</f>
        <v/>
      </c>
      <c r="C284" t="str">
        <f t="shared" si="28"/>
        <v/>
      </c>
      <c r="D284" t="str">
        <f>IF(Expense_Input!C284="","",Expense_Input!C284)</f>
        <v/>
      </c>
      <c r="E284" s="4" t="str">
        <f>IF(Expense_Input!D284="","",Expense_Input!D284)</f>
        <v/>
      </c>
      <c r="F284" t="str">
        <f>IF(Expense_Input!E284="","",Expense_Input!E284)</f>
        <v/>
      </c>
      <c r="G284" t="str">
        <f>IF(Expense_Input!H284="","",Expense_Input!H284)</f>
        <v/>
      </c>
      <c r="H284" t="str">
        <f>IF(Expense_Input!I284="","Auto",Expense_Input!I284)</f>
        <v>Auto</v>
      </c>
      <c r="I284" t="str">
        <f>IF(F284="","",IFERROR(VLOOKUP(F284,Sales_Tax_Settings!$A$15:$B$27,2,FALSE),"Tax Unknown"))</f>
        <v/>
      </c>
      <c r="J284" t="str">
        <f t="shared" si="29"/>
        <v/>
      </c>
      <c r="K284" t="str">
        <f>IF(AND(Sales_Tax_Settings!$B$5="Yes",G284="Personal Expense",J284="Taxable"),"Yes","No")</f>
        <v>No</v>
      </c>
      <c r="L284" s="4">
        <f t="shared" si="30"/>
        <v>0</v>
      </c>
      <c r="M284" s="4">
        <f t="shared" si="31"/>
        <v>0</v>
      </c>
      <c r="N284" s="4">
        <f t="shared" si="32"/>
        <v>0</v>
      </c>
      <c r="O284" s="4">
        <f t="shared" si="33"/>
        <v>0</v>
      </c>
      <c r="P284" s="4">
        <f>IF(K284&lt;&gt;"Yes",0,IF(Sales_Tax_Settings!$B$6="Yes",E284/(1+Sales_Tax_Settings!$B$10),E284))</f>
        <v>0</v>
      </c>
      <c r="Q284" s="4">
        <f>IF(K284&lt;&gt;"Yes",0,P284*Sales_Tax_Settings!$B$8)</f>
        <v>0</v>
      </c>
      <c r="R284" s="4">
        <f>IF(K284&lt;&gt;"Yes",0,P284*Sales_Tax_Settings!$B$9)</f>
        <v>0</v>
      </c>
      <c r="S284" s="4">
        <f t="shared" si="34"/>
        <v>0</v>
      </c>
    </row>
    <row r="285" spans="1:19" x14ac:dyDescent="0.3">
      <c r="A285" t="str">
        <f>IF(Expense_Input!A285="","",Expense_Input!A285)</f>
        <v/>
      </c>
      <c r="B285" t="str">
        <f>IF(Expense_Input!B285="","",Expense_Input!B285)</f>
        <v/>
      </c>
      <c r="C285" t="str">
        <f t="shared" si="28"/>
        <v/>
      </c>
      <c r="D285" t="str">
        <f>IF(Expense_Input!C285="","",Expense_Input!C285)</f>
        <v/>
      </c>
      <c r="E285" s="4" t="str">
        <f>IF(Expense_Input!D285="","",Expense_Input!D285)</f>
        <v/>
      </c>
      <c r="F285" t="str">
        <f>IF(Expense_Input!E285="","",Expense_Input!E285)</f>
        <v/>
      </c>
      <c r="G285" t="str">
        <f>IF(Expense_Input!H285="","",Expense_Input!H285)</f>
        <v/>
      </c>
      <c r="H285" t="str">
        <f>IF(Expense_Input!I285="","Auto",Expense_Input!I285)</f>
        <v>Auto</v>
      </c>
      <c r="I285" t="str">
        <f>IF(F285="","",IFERROR(VLOOKUP(F285,Sales_Tax_Settings!$A$15:$B$27,2,FALSE),"Tax Unknown"))</f>
        <v/>
      </c>
      <c r="J285" t="str">
        <f t="shared" si="29"/>
        <v/>
      </c>
      <c r="K285" t="str">
        <f>IF(AND(Sales_Tax_Settings!$B$5="Yes",G285="Personal Expense",J285="Taxable"),"Yes","No")</f>
        <v>No</v>
      </c>
      <c r="L285" s="4">
        <f t="shared" si="30"/>
        <v>0</v>
      </c>
      <c r="M285" s="4">
        <f t="shared" si="31"/>
        <v>0</v>
      </c>
      <c r="N285" s="4">
        <f t="shared" si="32"/>
        <v>0</v>
      </c>
      <c r="O285" s="4">
        <f t="shared" si="33"/>
        <v>0</v>
      </c>
      <c r="P285" s="4">
        <f>IF(K285&lt;&gt;"Yes",0,IF(Sales_Tax_Settings!$B$6="Yes",E285/(1+Sales_Tax_Settings!$B$10),E285))</f>
        <v>0</v>
      </c>
      <c r="Q285" s="4">
        <f>IF(K285&lt;&gt;"Yes",0,P285*Sales_Tax_Settings!$B$8)</f>
        <v>0</v>
      </c>
      <c r="R285" s="4">
        <f>IF(K285&lt;&gt;"Yes",0,P285*Sales_Tax_Settings!$B$9)</f>
        <v>0</v>
      </c>
      <c r="S285" s="4">
        <f t="shared" si="34"/>
        <v>0</v>
      </c>
    </row>
    <row r="286" spans="1:19" x14ac:dyDescent="0.3">
      <c r="A286" t="str">
        <f>IF(Expense_Input!A286="","",Expense_Input!A286)</f>
        <v/>
      </c>
      <c r="B286" t="str">
        <f>IF(Expense_Input!B286="","",Expense_Input!B286)</f>
        <v/>
      </c>
      <c r="C286" t="str">
        <f t="shared" si="28"/>
        <v/>
      </c>
      <c r="D286" t="str">
        <f>IF(Expense_Input!C286="","",Expense_Input!C286)</f>
        <v/>
      </c>
      <c r="E286" s="4" t="str">
        <f>IF(Expense_Input!D286="","",Expense_Input!D286)</f>
        <v/>
      </c>
      <c r="F286" t="str">
        <f>IF(Expense_Input!E286="","",Expense_Input!E286)</f>
        <v/>
      </c>
      <c r="G286" t="str">
        <f>IF(Expense_Input!H286="","",Expense_Input!H286)</f>
        <v/>
      </c>
      <c r="H286" t="str">
        <f>IF(Expense_Input!I286="","Auto",Expense_Input!I286)</f>
        <v>Auto</v>
      </c>
      <c r="I286" t="str">
        <f>IF(F286="","",IFERROR(VLOOKUP(F286,Sales_Tax_Settings!$A$15:$B$27,2,FALSE),"Tax Unknown"))</f>
        <v/>
      </c>
      <c r="J286" t="str">
        <f t="shared" si="29"/>
        <v/>
      </c>
      <c r="K286" t="str">
        <f>IF(AND(Sales_Tax_Settings!$B$5="Yes",G286="Personal Expense",J286="Taxable"),"Yes","No")</f>
        <v>No</v>
      </c>
      <c r="L286" s="4">
        <f t="shared" si="30"/>
        <v>0</v>
      </c>
      <c r="M286" s="4">
        <f t="shared" si="31"/>
        <v>0</v>
      </c>
      <c r="N286" s="4">
        <f t="shared" si="32"/>
        <v>0</v>
      </c>
      <c r="O286" s="4">
        <f t="shared" si="33"/>
        <v>0</v>
      </c>
      <c r="P286" s="4">
        <f>IF(K286&lt;&gt;"Yes",0,IF(Sales_Tax_Settings!$B$6="Yes",E286/(1+Sales_Tax_Settings!$B$10),E286))</f>
        <v>0</v>
      </c>
      <c r="Q286" s="4">
        <f>IF(K286&lt;&gt;"Yes",0,P286*Sales_Tax_Settings!$B$8)</f>
        <v>0</v>
      </c>
      <c r="R286" s="4">
        <f>IF(K286&lt;&gt;"Yes",0,P286*Sales_Tax_Settings!$B$9)</f>
        <v>0</v>
      </c>
      <c r="S286" s="4">
        <f t="shared" si="34"/>
        <v>0</v>
      </c>
    </row>
    <row r="287" spans="1:19" x14ac:dyDescent="0.3">
      <c r="A287" t="str">
        <f>IF(Expense_Input!A287="","",Expense_Input!A287)</f>
        <v/>
      </c>
      <c r="B287" t="str">
        <f>IF(Expense_Input!B287="","",Expense_Input!B287)</f>
        <v/>
      </c>
      <c r="C287" t="str">
        <f t="shared" si="28"/>
        <v/>
      </c>
      <c r="D287" t="str">
        <f>IF(Expense_Input!C287="","",Expense_Input!C287)</f>
        <v/>
      </c>
      <c r="E287" s="4" t="str">
        <f>IF(Expense_Input!D287="","",Expense_Input!D287)</f>
        <v/>
      </c>
      <c r="F287" t="str">
        <f>IF(Expense_Input!E287="","",Expense_Input!E287)</f>
        <v/>
      </c>
      <c r="G287" t="str">
        <f>IF(Expense_Input!H287="","",Expense_Input!H287)</f>
        <v/>
      </c>
      <c r="H287" t="str">
        <f>IF(Expense_Input!I287="","Auto",Expense_Input!I287)</f>
        <v>Auto</v>
      </c>
      <c r="I287" t="str">
        <f>IF(F287="","",IFERROR(VLOOKUP(F287,Sales_Tax_Settings!$A$15:$B$27,2,FALSE),"Tax Unknown"))</f>
        <v/>
      </c>
      <c r="J287" t="str">
        <f t="shared" si="29"/>
        <v/>
      </c>
      <c r="K287" t="str">
        <f>IF(AND(Sales_Tax_Settings!$B$5="Yes",G287="Personal Expense",J287="Taxable"),"Yes","No")</f>
        <v>No</v>
      </c>
      <c r="L287" s="4">
        <f t="shared" si="30"/>
        <v>0</v>
      </c>
      <c r="M287" s="4">
        <f t="shared" si="31"/>
        <v>0</v>
      </c>
      <c r="N287" s="4">
        <f t="shared" si="32"/>
        <v>0</v>
      </c>
      <c r="O287" s="4">
        <f t="shared" si="33"/>
        <v>0</v>
      </c>
      <c r="P287" s="4">
        <f>IF(K287&lt;&gt;"Yes",0,IF(Sales_Tax_Settings!$B$6="Yes",E287/(1+Sales_Tax_Settings!$B$10),E287))</f>
        <v>0</v>
      </c>
      <c r="Q287" s="4">
        <f>IF(K287&lt;&gt;"Yes",0,P287*Sales_Tax_Settings!$B$8)</f>
        <v>0</v>
      </c>
      <c r="R287" s="4">
        <f>IF(K287&lt;&gt;"Yes",0,P287*Sales_Tax_Settings!$B$9)</f>
        <v>0</v>
      </c>
      <c r="S287" s="4">
        <f t="shared" si="34"/>
        <v>0</v>
      </c>
    </row>
    <row r="288" spans="1:19" x14ac:dyDescent="0.3">
      <c r="A288" t="str">
        <f>IF(Expense_Input!A288="","",Expense_Input!A288)</f>
        <v/>
      </c>
      <c r="B288" t="str">
        <f>IF(Expense_Input!B288="","",Expense_Input!B288)</f>
        <v/>
      </c>
      <c r="C288" t="str">
        <f t="shared" si="28"/>
        <v/>
      </c>
      <c r="D288" t="str">
        <f>IF(Expense_Input!C288="","",Expense_Input!C288)</f>
        <v/>
      </c>
      <c r="E288" s="4" t="str">
        <f>IF(Expense_Input!D288="","",Expense_Input!D288)</f>
        <v/>
      </c>
      <c r="F288" t="str">
        <f>IF(Expense_Input!E288="","",Expense_Input!E288)</f>
        <v/>
      </c>
      <c r="G288" t="str">
        <f>IF(Expense_Input!H288="","",Expense_Input!H288)</f>
        <v/>
      </c>
      <c r="H288" t="str">
        <f>IF(Expense_Input!I288="","Auto",Expense_Input!I288)</f>
        <v>Auto</v>
      </c>
      <c r="I288" t="str">
        <f>IF(F288="","",IFERROR(VLOOKUP(F288,Sales_Tax_Settings!$A$15:$B$27,2,FALSE),"Tax Unknown"))</f>
        <v/>
      </c>
      <c r="J288" t="str">
        <f t="shared" si="29"/>
        <v/>
      </c>
      <c r="K288" t="str">
        <f>IF(AND(Sales_Tax_Settings!$B$5="Yes",G288="Personal Expense",J288="Taxable"),"Yes","No")</f>
        <v>No</v>
      </c>
      <c r="L288" s="4">
        <f t="shared" si="30"/>
        <v>0</v>
      </c>
      <c r="M288" s="4">
        <f t="shared" si="31"/>
        <v>0</v>
      </c>
      <c r="N288" s="4">
        <f t="shared" si="32"/>
        <v>0</v>
      </c>
      <c r="O288" s="4">
        <f t="shared" si="33"/>
        <v>0</v>
      </c>
      <c r="P288" s="4">
        <f>IF(K288&lt;&gt;"Yes",0,IF(Sales_Tax_Settings!$B$6="Yes",E288/(1+Sales_Tax_Settings!$B$10),E288))</f>
        <v>0</v>
      </c>
      <c r="Q288" s="4">
        <f>IF(K288&lt;&gt;"Yes",0,P288*Sales_Tax_Settings!$B$8)</f>
        <v>0</v>
      </c>
      <c r="R288" s="4">
        <f>IF(K288&lt;&gt;"Yes",0,P288*Sales_Tax_Settings!$B$9)</f>
        <v>0</v>
      </c>
      <c r="S288" s="4">
        <f t="shared" si="34"/>
        <v>0</v>
      </c>
    </row>
    <row r="289" spans="1:19" x14ac:dyDescent="0.3">
      <c r="A289" t="str">
        <f>IF(Expense_Input!A289="","",Expense_Input!A289)</f>
        <v/>
      </c>
      <c r="B289" t="str">
        <f>IF(Expense_Input!B289="","",Expense_Input!B289)</f>
        <v/>
      </c>
      <c r="C289" t="str">
        <f t="shared" si="28"/>
        <v/>
      </c>
      <c r="D289" t="str">
        <f>IF(Expense_Input!C289="","",Expense_Input!C289)</f>
        <v/>
      </c>
      <c r="E289" s="4" t="str">
        <f>IF(Expense_Input!D289="","",Expense_Input!D289)</f>
        <v/>
      </c>
      <c r="F289" t="str">
        <f>IF(Expense_Input!E289="","",Expense_Input!E289)</f>
        <v/>
      </c>
      <c r="G289" t="str">
        <f>IF(Expense_Input!H289="","",Expense_Input!H289)</f>
        <v/>
      </c>
      <c r="H289" t="str">
        <f>IF(Expense_Input!I289="","Auto",Expense_Input!I289)</f>
        <v>Auto</v>
      </c>
      <c r="I289" t="str">
        <f>IF(F289="","",IFERROR(VLOOKUP(F289,Sales_Tax_Settings!$A$15:$B$27,2,FALSE),"Tax Unknown"))</f>
        <v/>
      </c>
      <c r="J289" t="str">
        <f t="shared" si="29"/>
        <v/>
      </c>
      <c r="K289" t="str">
        <f>IF(AND(Sales_Tax_Settings!$B$5="Yes",G289="Personal Expense",J289="Taxable"),"Yes","No")</f>
        <v>No</v>
      </c>
      <c r="L289" s="4">
        <f t="shared" si="30"/>
        <v>0</v>
      </c>
      <c r="M289" s="4">
        <f t="shared" si="31"/>
        <v>0</v>
      </c>
      <c r="N289" s="4">
        <f t="shared" si="32"/>
        <v>0</v>
      </c>
      <c r="O289" s="4">
        <f t="shared" si="33"/>
        <v>0</v>
      </c>
      <c r="P289" s="4">
        <f>IF(K289&lt;&gt;"Yes",0,IF(Sales_Tax_Settings!$B$6="Yes",E289/(1+Sales_Tax_Settings!$B$10),E289))</f>
        <v>0</v>
      </c>
      <c r="Q289" s="4">
        <f>IF(K289&lt;&gt;"Yes",0,P289*Sales_Tax_Settings!$B$8)</f>
        <v>0</v>
      </c>
      <c r="R289" s="4">
        <f>IF(K289&lt;&gt;"Yes",0,P289*Sales_Tax_Settings!$B$9)</f>
        <v>0</v>
      </c>
      <c r="S289" s="4">
        <f t="shared" si="34"/>
        <v>0</v>
      </c>
    </row>
    <row r="290" spans="1:19" x14ac:dyDescent="0.3">
      <c r="A290" t="str">
        <f>IF(Expense_Input!A290="","",Expense_Input!A290)</f>
        <v/>
      </c>
      <c r="B290" t="str">
        <f>IF(Expense_Input!B290="","",Expense_Input!B290)</f>
        <v/>
      </c>
      <c r="C290" t="str">
        <f t="shared" si="28"/>
        <v/>
      </c>
      <c r="D290" t="str">
        <f>IF(Expense_Input!C290="","",Expense_Input!C290)</f>
        <v/>
      </c>
      <c r="E290" s="4" t="str">
        <f>IF(Expense_Input!D290="","",Expense_Input!D290)</f>
        <v/>
      </c>
      <c r="F290" t="str">
        <f>IF(Expense_Input!E290="","",Expense_Input!E290)</f>
        <v/>
      </c>
      <c r="G290" t="str">
        <f>IF(Expense_Input!H290="","",Expense_Input!H290)</f>
        <v/>
      </c>
      <c r="H290" t="str">
        <f>IF(Expense_Input!I290="","Auto",Expense_Input!I290)</f>
        <v>Auto</v>
      </c>
      <c r="I290" t="str">
        <f>IF(F290="","",IFERROR(VLOOKUP(F290,Sales_Tax_Settings!$A$15:$B$27,2,FALSE),"Tax Unknown"))</f>
        <v/>
      </c>
      <c r="J290" t="str">
        <f t="shared" si="29"/>
        <v/>
      </c>
      <c r="K290" t="str">
        <f>IF(AND(Sales_Tax_Settings!$B$5="Yes",G290="Personal Expense",J290="Taxable"),"Yes","No")</f>
        <v>No</v>
      </c>
      <c r="L290" s="4">
        <f t="shared" si="30"/>
        <v>0</v>
      </c>
      <c r="M290" s="4">
        <f t="shared" si="31"/>
        <v>0</v>
      </c>
      <c r="N290" s="4">
        <f t="shared" si="32"/>
        <v>0</v>
      </c>
      <c r="O290" s="4">
        <f t="shared" si="33"/>
        <v>0</v>
      </c>
      <c r="P290" s="4">
        <f>IF(K290&lt;&gt;"Yes",0,IF(Sales_Tax_Settings!$B$6="Yes",E290/(1+Sales_Tax_Settings!$B$10),E290))</f>
        <v>0</v>
      </c>
      <c r="Q290" s="4">
        <f>IF(K290&lt;&gt;"Yes",0,P290*Sales_Tax_Settings!$B$8)</f>
        <v>0</v>
      </c>
      <c r="R290" s="4">
        <f>IF(K290&lt;&gt;"Yes",0,P290*Sales_Tax_Settings!$B$9)</f>
        <v>0</v>
      </c>
      <c r="S290" s="4">
        <f t="shared" si="34"/>
        <v>0</v>
      </c>
    </row>
    <row r="291" spans="1:19" x14ac:dyDescent="0.3">
      <c r="A291" t="str">
        <f>IF(Expense_Input!A291="","",Expense_Input!A291)</f>
        <v/>
      </c>
      <c r="B291" t="str">
        <f>IF(Expense_Input!B291="","",Expense_Input!B291)</f>
        <v/>
      </c>
      <c r="C291" t="str">
        <f t="shared" si="28"/>
        <v/>
      </c>
      <c r="D291" t="str">
        <f>IF(Expense_Input!C291="","",Expense_Input!C291)</f>
        <v/>
      </c>
      <c r="E291" s="4" t="str">
        <f>IF(Expense_Input!D291="","",Expense_Input!D291)</f>
        <v/>
      </c>
      <c r="F291" t="str">
        <f>IF(Expense_Input!E291="","",Expense_Input!E291)</f>
        <v/>
      </c>
      <c r="G291" t="str">
        <f>IF(Expense_Input!H291="","",Expense_Input!H291)</f>
        <v/>
      </c>
      <c r="H291" t="str">
        <f>IF(Expense_Input!I291="","Auto",Expense_Input!I291)</f>
        <v>Auto</v>
      </c>
      <c r="I291" t="str">
        <f>IF(F291="","",IFERROR(VLOOKUP(F291,Sales_Tax_Settings!$A$15:$B$27,2,FALSE),"Tax Unknown"))</f>
        <v/>
      </c>
      <c r="J291" t="str">
        <f t="shared" si="29"/>
        <v/>
      </c>
      <c r="K291" t="str">
        <f>IF(AND(Sales_Tax_Settings!$B$5="Yes",G291="Personal Expense",J291="Taxable"),"Yes","No")</f>
        <v>No</v>
      </c>
      <c r="L291" s="4">
        <f t="shared" si="30"/>
        <v>0</v>
      </c>
      <c r="M291" s="4">
        <f t="shared" si="31"/>
        <v>0</v>
      </c>
      <c r="N291" s="4">
        <f t="shared" si="32"/>
        <v>0</v>
      </c>
      <c r="O291" s="4">
        <f t="shared" si="33"/>
        <v>0</v>
      </c>
      <c r="P291" s="4">
        <f>IF(K291&lt;&gt;"Yes",0,IF(Sales_Tax_Settings!$B$6="Yes",E291/(1+Sales_Tax_Settings!$B$10),E291))</f>
        <v>0</v>
      </c>
      <c r="Q291" s="4">
        <f>IF(K291&lt;&gt;"Yes",0,P291*Sales_Tax_Settings!$B$8)</f>
        <v>0</v>
      </c>
      <c r="R291" s="4">
        <f>IF(K291&lt;&gt;"Yes",0,P291*Sales_Tax_Settings!$B$9)</f>
        <v>0</v>
      </c>
      <c r="S291" s="4">
        <f t="shared" si="34"/>
        <v>0</v>
      </c>
    </row>
    <row r="292" spans="1:19" x14ac:dyDescent="0.3">
      <c r="A292" t="str">
        <f>IF(Expense_Input!A292="","",Expense_Input!A292)</f>
        <v/>
      </c>
      <c r="B292" t="str">
        <f>IF(Expense_Input!B292="","",Expense_Input!B292)</f>
        <v/>
      </c>
      <c r="C292" t="str">
        <f t="shared" si="28"/>
        <v/>
      </c>
      <c r="D292" t="str">
        <f>IF(Expense_Input!C292="","",Expense_Input!C292)</f>
        <v/>
      </c>
      <c r="E292" s="4" t="str">
        <f>IF(Expense_Input!D292="","",Expense_Input!D292)</f>
        <v/>
      </c>
      <c r="F292" t="str">
        <f>IF(Expense_Input!E292="","",Expense_Input!E292)</f>
        <v/>
      </c>
      <c r="G292" t="str">
        <f>IF(Expense_Input!H292="","",Expense_Input!H292)</f>
        <v/>
      </c>
      <c r="H292" t="str">
        <f>IF(Expense_Input!I292="","Auto",Expense_Input!I292)</f>
        <v>Auto</v>
      </c>
      <c r="I292" t="str">
        <f>IF(F292="","",IFERROR(VLOOKUP(F292,Sales_Tax_Settings!$A$15:$B$27,2,FALSE),"Tax Unknown"))</f>
        <v/>
      </c>
      <c r="J292" t="str">
        <f t="shared" si="29"/>
        <v/>
      </c>
      <c r="K292" t="str">
        <f>IF(AND(Sales_Tax_Settings!$B$5="Yes",G292="Personal Expense",J292="Taxable"),"Yes","No")</f>
        <v>No</v>
      </c>
      <c r="L292" s="4">
        <f t="shared" si="30"/>
        <v>0</v>
      </c>
      <c r="M292" s="4">
        <f t="shared" si="31"/>
        <v>0</v>
      </c>
      <c r="N292" s="4">
        <f t="shared" si="32"/>
        <v>0</v>
      </c>
      <c r="O292" s="4">
        <f t="shared" si="33"/>
        <v>0</v>
      </c>
      <c r="P292" s="4">
        <f>IF(K292&lt;&gt;"Yes",0,IF(Sales_Tax_Settings!$B$6="Yes",E292/(1+Sales_Tax_Settings!$B$10),E292))</f>
        <v>0</v>
      </c>
      <c r="Q292" s="4">
        <f>IF(K292&lt;&gt;"Yes",0,P292*Sales_Tax_Settings!$B$8)</f>
        <v>0</v>
      </c>
      <c r="R292" s="4">
        <f>IF(K292&lt;&gt;"Yes",0,P292*Sales_Tax_Settings!$B$9)</f>
        <v>0</v>
      </c>
      <c r="S292" s="4">
        <f t="shared" si="34"/>
        <v>0</v>
      </c>
    </row>
    <row r="293" spans="1:19" x14ac:dyDescent="0.3">
      <c r="A293" t="str">
        <f>IF(Expense_Input!A293="","",Expense_Input!A293)</f>
        <v/>
      </c>
      <c r="B293" t="str">
        <f>IF(Expense_Input!B293="","",Expense_Input!B293)</f>
        <v/>
      </c>
      <c r="C293" t="str">
        <f t="shared" si="28"/>
        <v/>
      </c>
      <c r="D293" t="str">
        <f>IF(Expense_Input!C293="","",Expense_Input!C293)</f>
        <v/>
      </c>
      <c r="E293" s="4" t="str">
        <f>IF(Expense_Input!D293="","",Expense_Input!D293)</f>
        <v/>
      </c>
      <c r="F293" t="str">
        <f>IF(Expense_Input!E293="","",Expense_Input!E293)</f>
        <v/>
      </c>
      <c r="G293" t="str">
        <f>IF(Expense_Input!H293="","",Expense_Input!H293)</f>
        <v/>
      </c>
      <c r="H293" t="str">
        <f>IF(Expense_Input!I293="","Auto",Expense_Input!I293)</f>
        <v>Auto</v>
      </c>
      <c r="I293" t="str">
        <f>IF(F293="","",IFERROR(VLOOKUP(F293,Sales_Tax_Settings!$A$15:$B$27,2,FALSE),"Tax Unknown"))</f>
        <v/>
      </c>
      <c r="J293" t="str">
        <f t="shared" si="29"/>
        <v/>
      </c>
      <c r="K293" t="str">
        <f>IF(AND(Sales_Tax_Settings!$B$5="Yes",G293="Personal Expense",J293="Taxable"),"Yes","No")</f>
        <v>No</v>
      </c>
      <c r="L293" s="4">
        <f t="shared" si="30"/>
        <v>0</v>
      </c>
      <c r="M293" s="4">
        <f t="shared" si="31"/>
        <v>0</v>
      </c>
      <c r="N293" s="4">
        <f t="shared" si="32"/>
        <v>0</v>
      </c>
      <c r="O293" s="4">
        <f t="shared" si="33"/>
        <v>0</v>
      </c>
      <c r="P293" s="4">
        <f>IF(K293&lt;&gt;"Yes",0,IF(Sales_Tax_Settings!$B$6="Yes",E293/(1+Sales_Tax_Settings!$B$10),E293))</f>
        <v>0</v>
      </c>
      <c r="Q293" s="4">
        <f>IF(K293&lt;&gt;"Yes",0,P293*Sales_Tax_Settings!$B$8)</f>
        <v>0</v>
      </c>
      <c r="R293" s="4">
        <f>IF(K293&lt;&gt;"Yes",0,P293*Sales_Tax_Settings!$B$9)</f>
        <v>0</v>
      </c>
      <c r="S293" s="4">
        <f t="shared" si="34"/>
        <v>0</v>
      </c>
    </row>
    <row r="294" spans="1:19" x14ac:dyDescent="0.3">
      <c r="A294" t="str">
        <f>IF(Expense_Input!A294="","",Expense_Input!A294)</f>
        <v/>
      </c>
      <c r="B294" t="str">
        <f>IF(Expense_Input!B294="","",Expense_Input!B294)</f>
        <v/>
      </c>
      <c r="C294" t="str">
        <f t="shared" si="28"/>
        <v/>
      </c>
      <c r="D294" t="str">
        <f>IF(Expense_Input!C294="","",Expense_Input!C294)</f>
        <v/>
      </c>
      <c r="E294" s="4" t="str">
        <f>IF(Expense_Input!D294="","",Expense_Input!D294)</f>
        <v/>
      </c>
      <c r="F294" t="str">
        <f>IF(Expense_Input!E294="","",Expense_Input!E294)</f>
        <v/>
      </c>
      <c r="G294" t="str">
        <f>IF(Expense_Input!H294="","",Expense_Input!H294)</f>
        <v/>
      </c>
      <c r="H294" t="str">
        <f>IF(Expense_Input!I294="","Auto",Expense_Input!I294)</f>
        <v>Auto</v>
      </c>
      <c r="I294" t="str">
        <f>IF(F294="","",IFERROR(VLOOKUP(F294,Sales_Tax_Settings!$A$15:$B$27,2,FALSE),"Tax Unknown"))</f>
        <v/>
      </c>
      <c r="J294" t="str">
        <f t="shared" si="29"/>
        <v/>
      </c>
      <c r="K294" t="str">
        <f>IF(AND(Sales_Tax_Settings!$B$5="Yes",G294="Personal Expense",J294="Taxable"),"Yes","No")</f>
        <v>No</v>
      </c>
      <c r="L294" s="4">
        <f t="shared" si="30"/>
        <v>0</v>
      </c>
      <c r="M294" s="4">
        <f t="shared" si="31"/>
        <v>0</v>
      </c>
      <c r="N294" s="4">
        <f t="shared" si="32"/>
        <v>0</v>
      </c>
      <c r="O294" s="4">
        <f t="shared" si="33"/>
        <v>0</v>
      </c>
      <c r="P294" s="4">
        <f>IF(K294&lt;&gt;"Yes",0,IF(Sales_Tax_Settings!$B$6="Yes",E294/(1+Sales_Tax_Settings!$B$10),E294))</f>
        <v>0</v>
      </c>
      <c r="Q294" s="4">
        <f>IF(K294&lt;&gt;"Yes",0,P294*Sales_Tax_Settings!$B$8)</f>
        <v>0</v>
      </c>
      <c r="R294" s="4">
        <f>IF(K294&lt;&gt;"Yes",0,P294*Sales_Tax_Settings!$B$9)</f>
        <v>0</v>
      </c>
      <c r="S294" s="4">
        <f t="shared" si="34"/>
        <v>0</v>
      </c>
    </row>
    <row r="295" spans="1:19" x14ac:dyDescent="0.3">
      <c r="A295" t="str">
        <f>IF(Expense_Input!A295="","",Expense_Input!A295)</f>
        <v/>
      </c>
      <c r="B295" t="str">
        <f>IF(Expense_Input!B295="","",Expense_Input!B295)</f>
        <v/>
      </c>
      <c r="C295" t="str">
        <f t="shared" si="28"/>
        <v/>
      </c>
      <c r="D295" t="str">
        <f>IF(Expense_Input!C295="","",Expense_Input!C295)</f>
        <v/>
      </c>
      <c r="E295" s="4" t="str">
        <f>IF(Expense_Input!D295="","",Expense_Input!D295)</f>
        <v/>
      </c>
      <c r="F295" t="str">
        <f>IF(Expense_Input!E295="","",Expense_Input!E295)</f>
        <v/>
      </c>
      <c r="G295" t="str">
        <f>IF(Expense_Input!H295="","",Expense_Input!H295)</f>
        <v/>
      </c>
      <c r="H295" t="str">
        <f>IF(Expense_Input!I295="","Auto",Expense_Input!I295)</f>
        <v>Auto</v>
      </c>
      <c r="I295" t="str">
        <f>IF(F295="","",IFERROR(VLOOKUP(F295,Sales_Tax_Settings!$A$15:$B$27,2,FALSE),"Tax Unknown"))</f>
        <v/>
      </c>
      <c r="J295" t="str">
        <f t="shared" si="29"/>
        <v/>
      </c>
      <c r="K295" t="str">
        <f>IF(AND(Sales_Tax_Settings!$B$5="Yes",G295="Personal Expense",J295="Taxable"),"Yes","No")</f>
        <v>No</v>
      </c>
      <c r="L295" s="4">
        <f t="shared" si="30"/>
        <v>0</v>
      </c>
      <c r="M295" s="4">
        <f t="shared" si="31"/>
        <v>0</v>
      </c>
      <c r="N295" s="4">
        <f t="shared" si="32"/>
        <v>0</v>
      </c>
      <c r="O295" s="4">
        <f t="shared" si="33"/>
        <v>0</v>
      </c>
      <c r="P295" s="4">
        <f>IF(K295&lt;&gt;"Yes",0,IF(Sales_Tax_Settings!$B$6="Yes",E295/(1+Sales_Tax_Settings!$B$10),E295))</f>
        <v>0</v>
      </c>
      <c r="Q295" s="4">
        <f>IF(K295&lt;&gt;"Yes",0,P295*Sales_Tax_Settings!$B$8)</f>
        <v>0</v>
      </c>
      <c r="R295" s="4">
        <f>IF(K295&lt;&gt;"Yes",0,P295*Sales_Tax_Settings!$B$9)</f>
        <v>0</v>
      </c>
      <c r="S295" s="4">
        <f t="shared" si="34"/>
        <v>0</v>
      </c>
    </row>
    <row r="296" spans="1:19" x14ac:dyDescent="0.3">
      <c r="A296" t="str">
        <f>IF(Expense_Input!A296="","",Expense_Input!A296)</f>
        <v/>
      </c>
      <c r="B296" t="str">
        <f>IF(Expense_Input!B296="","",Expense_Input!B296)</f>
        <v/>
      </c>
      <c r="C296" t="str">
        <f t="shared" si="28"/>
        <v/>
      </c>
      <c r="D296" t="str">
        <f>IF(Expense_Input!C296="","",Expense_Input!C296)</f>
        <v/>
      </c>
      <c r="E296" s="4" t="str">
        <f>IF(Expense_Input!D296="","",Expense_Input!D296)</f>
        <v/>
      </c>
      <c r="F296" t="str">
        <f>IF(Expense_Input!E296="","",Expense_Input!E296)</f>
        <v/>
      </c>
      <c r="G296" t="str">
        <f>IF(Expense_Input!H296="","",Expense_Input!H296)</f>
        <v/>
      </c>
      <c r="H296" t="str">
        <f>IF(Expense_Input!I296="","Auto",Expense_Input!I296)</f>
        <v>Auto</v>
      </c>
      <c r="I296" t="str">
        <f>IF(F296="","",IFERROR(VLOOKUP(F296,Sales_Tax_Settings!$A$15:$B$27,2,FALSE),"Tax Unknown"))</f>
        <v/>
      </c>
      <c r="J296" t="str">
        <f t="shared" si="29"/>
        <v/>
      </c>
      <c r="K296" t="str">
        <f>IF(AND(Sales_Tax_Settings!$B$5="Yes",G296="Personal Expense",J296="Taxable"),"Yes","No")</f>
        <v>No</v>
      </c>
      <c r="L296" s="4">
        <f t="shared" si="30"/>
        <v>0</v>
      </c>
      <c r="M296" s="4">
        <f t="shared" si="31"/>
        <v>0</v>
      </c>
      <c r="N296" s="4">
        <f t="shared" si="32"/>
        <v>0</v>
      </c>
      <c r="O296" s="4">
        <f t="shared" si="33"/>
        <v>0</v>
      </c>
      <c r="P296" s="4">
        <f>IF(K296&lt;&gt;"Yes",0,IF(Sales_Tax_Settings!$B$6="Yes",E296/(1+Sales_Tax_Settings!$B$10),E296))</f>
        <v>0</v>
      </c>
      <c r="Q296" s="4">
        <f>IF(K296&lt;&gt;"Yes",0,P296*Sales_Tax_Settings!$B$8)</f>
        <v>0</v>
      </c>
      <c r="R296" s="4">
        <f>IF(K296&lt;&gt;"Yes",0,P296*Sales_Tax_Settings!$B$9)</f>
        <v>0</v>
      </c>
      <c r="S296" s="4">
        <f t="shared" si="34"/>
        <v>0</v>
      </c>
    </row>
    <row r="297" spans="1:19" x14ac:dyDescent="0.3">
      <c r="A297" t="str">
        <f>IF(Expense_Input!A297="","",Expense_Input!A297)</f>
        <v/>
      </c>
      <c r="B297" t="str">
        <f>IF(Expense_Input!B297="","",Expense_Input!B297)</f>
        <v/>
      </c>
      <c r="C297" t="str">
        <f t="shared" si="28"/>
        <v/>
      </c>
      <c r="D297" t="str">
        <f>IF(Expense_Input!C297="","",Expense_Input!C297)</f>
        <v/>
      </c>
      <c r="E297" s="4" t="str">
        <f>IF(Expense_Input!D297="","",Expense_Input!D297)</f>
        <v/>
      </c>
      <c r="F297" t="str">
        <f>IF(Expense_Input!E297="","",Expense_Input!E297)</f>
        <v/>
      </c>
      <c r="G297" t="str">
        <f>IF(Expense_Input!H297="","",Expense_Input!H297)</f>
        <v/>
      </c>
      <c r="H297" t="str">
        <f>IF(Expense_Input!I297="","Auto",Expense_Input!I297)</f>
        <v>Auto</v>
      </c>
      <c r="I297" t="str">
        <f>IF(F297="","",IFERROR(VLOOKUP(F297,Sales_Tax_Settings!$A$15:$B$27,2,FALSE),"Tax Unknown"))</f>
        <v/>
      </c>
      <c r="J297" t="str">
        <f t="shared" si="29"/>
        <v/>
      </c>
      <c r="K297" t="str">
        <f>IF(AND(Sales_Tax_Settings!$B$5="Yes",G297="Personal Expense",J297="Taxable"),"Yes","No")</f>
        <v>No</v>
      </c>
      <c r="L297" s="4">
        <f t="shared" si="30"/>
        <v>0</v>
      </c>
      <c r="M297" s="4">
        <f t="shared" si="31"/>
        <v>0</v>
      </c>
      <c r="N297" s="4">
        <f t="shared" si="32"/>
        <v>0</v>
      </c>
      <c r="O297" s="4">
        <f t="shared" si="33"/>
        <v>0</v>
      </c>
      <c r="P297" s="4">
        <f>IF(K297&lt;&gt;"Yes",0,IF(Sales_Tax_Settings!$B$6="Yes",E297/(1+Sales_Tax_Settings!$B$10),E297))</f>
        <v>0</v>
      </c>
      <c r="Q297" s="4">
        <f>IF(K297&lt;&gt;"Yes",0,P297*Sales_Tax_Settings!$B$8)</f>
        <v>0</v>
      </c>
      <c r="R297" s="4">
        <f>IF(K297&lt;&gt;"Yes",0,P297*Sales_Tax_Settings!$B$9)</f>
        <v>0</v>
      </c>
      <c r="S297" s="4">
        <f t="shared" si="34"/>
        <v>0</v>
      </c>
    </row>
    <row r="298" spans="1:19" x14ac:dyDescent="0.3">
      <c r="A298" t="str">
        <f>IF(Expense_Input!A298="","",Expense_Input!A298)</f>
        <v/>
      </c>
      <c r="B298" t="str">
        <f>IF(Expense_Input!B298="","",Expense_Input!B298)</f>
        <v/>
      </c>
      <c r="C298" t="str">
        <f t="shared" si="28"/>
        <v/>
      </c>
      <c r="D298" t="str">
        <f>IF(Expense_Input!C298="","",Expense_Input!C298)</f>
        <v/>
      </c>
      <c r="E298" s="4" t="str">
        <f>IF(Expense_Input!D298="","",Expense_Input!D298)</f>
        <v/>
      </c>
      <c r="F298" t="str">
        <f>IF(Expense_Input!E298="","",Expense_Input!E298)</f>
        <v/>
      </c>
      <c r="G298" t="str">
        <f>IF(Expense_Input!H298="","",Expense_Input!H298)</f>
        <v/>
      </c>
      <c r="H298" t="str">
        <f>IF(Expense_Input!I298="","Auto",Expense_Input!I298)</f>
        <v>Auto</v>
      </c>
      <c r="I298" t="str">
        <f>IF(F298="","",IFERROR(VLOOKUP(F298,Sales_Tax_Settings!$A$15:$B$27,2,FALSE),"Tax Unknown"))</f>
        <v/>
      </c>
      <c r="J298" t="str">
        <f t="shared" si="29"/>
        <v/>
      </c>
      <c r="K298" t="str">
        <f>IF(AND(Sales_Tax_Settings!$B$5="Yes",G298="Personal Expense",J298="Taxable"),"Yes","No")</f>
        <v>No</v>
      </c>
      <c r="L298" s="4">
        <f t="shared" si="30"/>
        <v>0</v>
      </c>
      <c r="M298" s="4">
        <f t="shared" si="31"/>
        <v>0</v>
      </c>
      <c r="N298" s="4">
        <f t="shared" si="32"/>
        <v>0</v>
      </c>
      <c r="O298" s="4">
        <f t="shared" si="33"/>
        <v>0</v>
      </c>
      <c r="P298" s="4">
        <f>IF(K298&lt;&gt;"Yes",0,IF(Sales_Tax_Settings!$B$6="Yes",E298/(1+Sales_Tax_Settings!$B$10),E298))</f>
        <v>0</v>
      </c>
      <c r="Q298" s="4">
        <f>IF(K298&lt;&gt;"Yes",0,P298*Sales_Tax_Settings!$B$8)</f>
        <v>0</v>
      </c>
      <c r="R298" s="4">
        <f>IF(K298&lt;&gt;"Yes",0,P298*Sales_Tax_Settings!$B$9)</f>
        <v>0</v>
      </c>
      <c r="S298" s="4">
        <f t="shared" si="34"/>
        <v>0</v>
      </c>
    </row>
    <row r="299" spans="1:19" x14ac:dyDescent="0.3">
      <c r="A299" t="str">
        <f>IF(Expense_Input!A299="","",Expense_Input!A299)</f>
        <v/>
      </c>
      <c r="B299" t="str">
        <f>IF(Expense_Input!B299="","",Expense_Input!B299)</f>
        <v/>
      </c>
      <c r="C299" t="str">
        <f t="shared" si="28"/>
        <v/>
      </c>
      <c r="D299" t="str">
        <f>IF(Expense_Input!C299="","",Expense_Input!C299)</f>
        <v/>
      </c>
      <c r="E299" s="4" t="str">
        <f>IF(Expense_Input!D299="","",Expense_Input!D299)</f>
        <v/>
      </c>
      <c r="F299" t="str">
        <f>IF(Expense_Input!E299="","",Expense_Input!E299)</f>
        <v/>
      </c>
      <c r="G299" t="str">
        <f>IF(Expense_Input!H299="","",Expense_Input!H299)</f>
        <v/>
      </c>
      <c r="H299" t="str">
        <f>IF(Expense_Input!I299="","Auto",Expense_Input!I299)</f>
        <v>Auto</v>
      </c>
      <c r="I299" t="str">
        <f>IF(F299="","",IFERROR(VLOOKUP(F299,Sales_Tax_Settings!$A$15:$B$27,2,FALSE),"Tax Unknown"))</f>
        <v/>
      </c>
      <c r="J299" t="str">
        <f t="shared" si="29"/>
        <v/>
      </c>
      <c r="K299" t="str">
        <f>IF(AND(Sales_Tax_Settings!$B$5="Yes",G299="Personal Expense",J299="Taxable"),"Yes","No")</f>
        <v>No</v>
      </c>
      <c r="L299" s="4">
        <f t="shared" si="30"/>
        <v>0</v>
      </c>
      <c r="M299" s="4">
        <f t="shared" si="31"/>
        <v>0</v>
      </c>
      <c r="N299" s="4">
        <f t="shared" si="32"/>
        <v>0</v>
      </c>
      <c r="O299" s="4">
        <f t="shared" si="33"/>
        <v>0</v>
      </c>
      <c r="P299" s="4">
        <f>IF(K299&lt;&gt;"Yes",0,IF(Sales_Tax_Settings!$B$6="Yes",E299/(1+Sales_Tax_Settings!$B$10),E299))</f>
        <v>0</v>
      </c>
      <c r="Q299" s="4">
        <f>IF(K299&lt;&gt;"Yes",0,P299*Sales_Tax_Settings!$B$8)</f>
        <v>0</v>
      </c>
      <c r="R299" s="4">
        <f>IF(K299&lt;&gt;"Yes",0,P299*Sales_Tax_Settings!$B$9)</f>
        <v>0</v>
      </c>
      <c r="S299" s="4">
        <f t="shared" si="34"/>
        <v>0</v>
      </c>
    </row>
    <row r="300" spans="1:19" x14ac:dyDescent="0.3">
      <c r="A300" t="str">
        <f>IF(Expense_Input!A300="","",Expense_Input!A300)</f>
        <v/>
      </c>
      <c r="B300" t="str">
        <f>IF(Expense_Input!B300="","",Expense_Input!B300)</f>
        <v/>
      </c>
      <c r="C300" t="str">
        <f t="shared" si="28"/>
        <v/>
      </c>
      <c r="D300" t="str">
        <f>IF(Expense_Input!C300="","",Expense_Input!C300)</f>
        <v/>
      </c>
      <c r="E300" s="4" t="str">
        <f>IF(Expense_Input!D300="","",Expense_Input!D300)</f>
        <v/>
      </c>
      <c r="F300" t="str">
        <f>IF(Expense_Input!E300="","",Expense_Input!E300)</f>
        <v/>
      </c>
      <c r="G300" t="str">
        <f>IF(Expense_Input!H300="","",Expense_Input!H300)</f>
        <v/>
      </c>
      <c r="H300" t="str">
        <f>IF(Expense_Input!I300="","Auto",Expense_Input!I300)</f>
        <v>Auto</v>
      </c>
      <c r="I300" t="str">
        <f>IF(F300="","",IFERROR(VLOOKUP(F300,Sales_Tax_Settings!$A$15:$B$27,2,FALSE),"Tax Unknown"))</f>
        <v/>
      </c>
      <c r="J300" t="str">
        <f t="shared" si="29"/>
        <v/>
      </c>
      <c r="K300" t="str">
        <f>IF(AND(Sales_Tax_Settings!$B$5="Yes",G300="Personal Expense",J300="Taxable"),"Yes","No")</f>
        <v>No</v>
      </c>
      <c r="L300" s="4">
        <f t="shared" si="30"/>
        <v>0</v>
      </c>
      <c r="M300" s="4">
        <f t="shared" si="31"/>
        <v>0</v>
      </c>
      <c r="N300" s="4">
        <f t="shared" si="32"/>
        <v>0</v>
      </c>
      <c r="O300" s="4">
        <f t="shared" si="33"/>
        <v>0</v>
      </c>
      <c r="P300" s="4">
        <f>IF(K300&lt;&gt;"Yes",0,IF(Sales_Tax_Settings!$B$6="Yes",E300/(1+Sales_Tax_Settings!$B$10),E300))</f>
        <v>0</v>
      </c>
      <c r="Q300" s="4">
        <f>IF(K300&lt;&gt;"Yes",0,P300*Sales_Tax_Settings!$B$8)</f>
        <v>0</v>
      </c>
      <c r="R300" s="4">
        <f>IF(K300&lt;&gt;"Yes",0,P300*Sales_Tax_Settings!$B$9)</f>
        <v>0</v>
      </c>
      <c r="S300" s="4">
        <f t="shared" si="34"/>
        <v>0</v>
      </c>
    </row>
    <row r="301" spans="1:19" x14ac:dyDescent="0.3">
      <c r="A301" t="str">
        <f>IF(Expense_Input!A301="","",Expense_Input!A301)</f>
        <v/>
      </c>
      <c r="B301" t="str">
        <f>IF(Expense_Input!B301="","",Expense_Input!B301)</f>
        <v/>
      </c>
      <c r="C301" t="str">
        <f t="shared" si="28"/>
        <v/>
      </c>
      <c r="D301" t="str">
        <f>IF(Expense_Input!C301="","",Expense_Input!C301)</f>
        <v/>
      </c>
      <c r="E301" s="4" t="str">
        <f>IF(Expense_Input!D301="","",Expense_Input!D301)</f>
        <v/>
      </c>
      <c r="F301" t="str">
        <f>IF(Expense_Input!E301="","",Expense_Input!E301)</f>
        <v/>
      </c>
      <c r="G301" t="str">
        <f>IF(Expense_Input!H301="","",Expense_Input!H301)</f>
        <v/>
      </c>
      <c r="H301" t="str">
        <f>IF(Expense_Input!I301="","Auto",Expense_Input!I301)</f>
        <v>Auto</v>
      </c>
      <c r="I301" t="str">
        <f>IF(F301="","",IFERROR(VLOOKUP(F301,Sales_Tax_Settings!$A$15:$B$27,2,FALSE),"Tax Unknown"))</f>
        <v/>
      </c>
      <c r="J301" t="str">
        <f t="shared" si="29"/>
        <v/>
      </c>
      <c r="K301" t="str">
        <f>IF(AND(Sales_Tax_Settings!$B$5="Yes",G301="Personal Expense",J301="Taxable"),"Yes","No")</f>
        <v>No</v>
      </c>
      <c r="L301" s="4">
        <f t="shared" si="30"/>
        <v>0</v>
      </c>
      <c r="M301" s="4">
        <f t="shared" si="31"/>
        <v>0</v>
      </c>
      <c r="N301" s="4">
        <f t="shared" si="32"/>
        <v>0</v>
      </c>
      <c r="O301" s="4">
        <f t="shared" si="33"/>
        <v>0</v>
      </c>
      <c r="P301" s="4">
        <f>IF(K301&lt;&gt;"Yes",0,IF(Sales_Tax_Settings!$B$6="Yes",E301/(1+Sales_Tax_Settings!$B$10),E301))</f>
        <v>0</v>
      </c>
      <c r="Q301" s="4">
        <f>IF(K301&lt;&gt;"Yes",0,P301*Sales_Tax_Settings!$B$8)</f>
        <v>0</v>
      </c>
      <c r="R301" s="4">
        <f>IF(K301&lt;&gt;"Yes",0,P301*Sales_Tax_Settings!$B$9)</f>
        <v>0</v>
      </c>
      <c r="S301" s="4">
        <f t="shared" si="34"/>
        <v>0</v>
      </c>
    </row>
    <row r="302" spans="1:19" x14ac:dyDescent="0.3">
      <c r="A302" t="str">
        <f>IF(Expense_Input!A302="","",Expense_Input!A302)</f>
        <v/>
      </c>
      <c r="B302" t="str">
        <f>IF(Expense_Input!B302="","",Expense_Input!B302)</f>
        <v/>
      </c>
      <c r="C302" t="str">
        <f t="shared" si="28"/>
        <v/>
      </c>
      <c r="D302" t="str">
        <f>IF(Expense_Input!C302="","",Expense_Input!C302)</f>
        <v/>
      </c>
      <c r="E302" s="4" t="str">
        <f>IF(Expense_Input!D302="","",Expense_Input!D302)</f>
        <v/>
      </c>
      <c r="F302" t="str">
        <f>IF(Expense_Input!E302="","",Expense_Input!E302)</f>
        <v/>
      </c>
      <c r="G302" t="str">
        <f>IF(Expense_Input!H302="","",Expense_Input!H302)</f>
        <v/>
      </c>
      <c r="H302" t="str">
        <f>IF(Expense_Input!I302="","Auto",Expense_Input!I302)</f>
        <v>Auto</v>
      </c>
      <c r="I302" t="str">
        <f>IF(F302="","",IFERROR(VLOOKUP(F302,Sales_Tax_Settings!$A$15:$B$27,2,FALSE),"Tax Unknown"))</f>
        <v/>
      </c>
      <c r="J302" t="str">
        <f t="shared" si="29"/>
        <v/>
      </c>
      <c r="K302" t="str">
        <f>IF(AND(Sales_Tax_Settings!$B$5="Yes",G302="Personal Expense",J302="Taxable"),"Yes","No")</f>
        <v>No</v>
      </c>
      <c r="L302" s="4">
        <f t="shared" si="30"/>
        <v>0</v>
      </c>
      <c r="M302" s="4">
        <f t="shared" si="31"/>
        <v>0</v>
      </c>
      <c r="N302" s="4">
        <f t="shared" si="32"/>
        <v>0</v>
      </c>
      <c r="O302" s="4">
        <f t="shared" si="33"/>
        <v>0</v>
      </c>
      <c r="P302" s="4">
        <f>IF(K302&lt;&gt;"Yes",0,IF(Sales_Tax_Settings!$B$6="Yes",E302/(1+Sales_Tax_Settings!$B$10),E302))</f>
        <v>0</v>
      </c>
      <c r="Q302" s="4">
        <f>IF(K302&lt;&gt;"Yes",0,P302*Sales_Tax_Settings!$B$8)</f>
        <v>0</v>
      </c>
      <c r="R302" s="4">
        <f>IF(K302&lt;&gt;"Yes",0,P302*Sales_Tax_Settings!$B$9)</f>
        <v>0</v>
      </c>
      <c r="S302" s="4">
        <f t="shared" si="34"/>
        <v>0</v>
      </c>
    </row>
    <row r="303" spans="1:19" x14ac:dyDescent="0.3">
      <c r="A303" t="str">
        <f>IF(Expense_Input!A303="","",Expense_Input!A303)</f>
        <v/>
      </c>
      <c r="B303" t="str">
        <f>IF(Expense_Input!B303="","",Expense_Input!B303)</f>
        <v/>
      </c>
      <c r="C303" t="str">
        <f t="shared" si="28"/>
        <v/>
      </c>
      <c r="D303" t="str">
        <f>IF(Expense_Input!C303="","",Expense_Input!C303)</f>
        <v/>
      </c>
      <c r="E303" s="4" t="str">
        <f>IF(Expense_Input!D303="","",Expense_Input!D303)</f>
        <v/>
      </c>
      <c r="F303" t="str">
        <f>IF(Expense_Input!E303="","",Expense_Input!E303)</f>
        <v/>
      </c>
      <c r="G303" t="str">
        <f>IF(Expense_Input!H303="","",Expense_Input!H303)</f>
        <v/>
      </c>
      <c r="H303" t="str">
        <f>IF(Expense_Input!I303="","Auto",Expense_Input!I303)</f>
        <v>Auto</v>
      </c>
      <c r="I303" t="str">
        <f>IF(F303="","",IFERROR(VLOOKUP(F303,Sales_Tax_Settings!$A$15:$B$27,2,FALSE),"Tax Unknown"))</f>
        <v/>
      </c>
      <c r="J303" t="str">
        <f t="shared" si="29"/>
        <v/>
      </c>
      <c r="K303" t="str">
        <f>IF(AND(Sales_Tax_Settings!$B$5="Yes",G303="Personal Expense",J303="Taxable"),"Yes","No")</f>
        <v>No</v>
      </c>
      <c r="L303" s="4">
        <f t="shared" si="30"/>
        <v>0</v>
      </c>
      <c r="M303" s="4">
        <f t="shared" si="31"/>
        <v>0</v>
      </c>
      <c r="N303" s="4">
        <f t="shared" si="32"/>
        <v>0</v>
      </c>
      <c r="O303" s="4">
        <f t="shared" si="33"/>
        <v>0</v>
      </c>
      <c r="P303" s="4">
        <f>IF(K303&lt;&gt;"Yes",0,IF(Sales_Tax_Settings!$B$6="Yes",E303/(1+Sales_Tax_Settings!$B$10),E303))</f>
        <v>0</v>
      </c>
      <c r="Q303" s="4">
        <f>IF(K303&lt;&gt;"Yes",0,P303*Sales_Tax_Settings!$B$8)</f>
        <v>0</v>
      </c>
      <c r="R303" s="4">
        <f>IF(K303&lt;&gt;"Yes",0,P303*Sales_Tax_Settings!$B$9)</f>
        <v>0</v>
      </c>
      <c r="S303" s="4">
        <f t="shared" si="34"/>
        <v>0</v>
      </c>
    </row>
    <row r="304" spans="1:19" x14ac:dyDescent="0.3">
      <c r="A304" t="str">
        <f>IF(Expense_Input!A304="","",Expense_Input!A304)</f>
        <v/>
      </c>
      <c r="B304" t="str">
        <f>IF(Expense_Input!B304="","",Expense_Input!B304)</f>
        <v/>
      </c>
      <c r="C304" t="str">
        <f t="shared" si="28"/>
        <v/>
      </c>
      <c r="D304" t="str">
        <f>IF(Expense_Input!C304="","",Expense_Input!C304)</f>
        <v/>
      </c>
      <c r="E304" s="4" t="str">
        <f>IF(Expense_Input!D304="","",Expense_Input!D304)</f>
        <v/>
      </c>
      <c r="F304" t="str">
        <f>IF(Expense_Input!E304="","",Expense_Input!E304)</f>
        <v/>
      </c>
      <c r="G304" t="str">
        <f>IF(Expense_Input!H304="","",Expense_Input!H304)</f>
        <v/>
      </c>
      <c r="H304" t="str">
        <f>IF(Expense_Input!I304="","Auto",Expense_Input!I304)</f>
        <v>Auto</v>
      </c>
      <c r="I304" t="str">
        <f>IF(F304="","",IFERROR(VLOOKUP(F304,Sales_Tax_Settings!$A$15:$B$27,2,FALSE),"Tax Unknown"))</f>
        <v/>
      </c>
      <c r="J304" t="str">
        <f t="shared" si="29"/>
        <v/>
      </c>
      <c r="K304" t="str">
        <f>IF(AND(Sales_Tax_Settings!$B$5="Yes",G304="Personal Expense",J304="Taxable"),"Yes","No")</f>
        <v>No</v>
      </c>
      <c r="L304" s="4">
        <f t="shared" si="30"/>
        <v>0</v>
      </c>
      <c r="M304" s="4">
        <f t="shared" si="31"/>
        <v>0</v>
      </c>
      <c r="N304" s="4">
        <f t="shared" si="32"/>
        <v>0</v>
      </c>
      <c r="O304" s="4">
        <f t="shared" si="33"/>
        <v>0</v>
      </c>
      <c r="P304" s="4">
        <f>IF(K304&lt;&gt;"Yes",0,IF(Sales_Tax_Settings!$B$6="Yes",E304/(1+Sales_Tax_Settings!$B$10),E304))</f>
        <v>0</v>
      </c>
      <c r="Q304" s="4">
        <f>IF(K304&lt;&gt;"Yes",0,P304*Sales_Tax_Settings!$B$8)</f>
        <v>0</v>
      </c>
      <c r="R304" s="4">
        <f>IF(K304&lt;&gt;"Yes",0,P304*Sales_Tax_Settings!$B$9)</f>
        <v>0</v>
      </c>
      <c r="S304" s="4">
        <f t="shared" si="34"/>
        <v>0</v>
      </c>
    </row>
    <row r="305" spans="1:19" x14ac:dyDescent="0.3">
      <c r="A305" t="str">
        <f>IF(Expense_Input!A305="","",Expense_Input!A305)</f>
        <v/>
      </c>
      <c r="B305" t="str">
        <f>IF(Expense_Input!B305="","",Expense_Input!B305)</f>
        <v/>
      </c>
      <c r="C305" t="str">
        <f t="shared" si="28"/>
        <v/>
      </c>
      <c r="D305" t="str">
        <f>IF(Expense_Input!C305="","",Expense_Input!C305)</f>
        <v/>
      </c>
      <c r="E305" s="4" t="str">
        <f>IF(Expense_Input!D305="","",Expense_Input!D305)</f>
        <v/>
      </c>
      <c r="F305" t="str">
        <f>IF(Expense_Input!E305="","",Expense_Input!E305)</f>
        <v/>
      </c>
      <c r="G305" t="str">
        <f>IF(Expense_Input!H305="","",Expense_Input!H305)</f>
        <v/>
      </c>
      <c r="H305" t="str">
        <f>IF(Expense_Input!I305="","Auto",Expense_Input!I305)</f>
        <v>Auto</v>
      </c>
      <c r="I305" t="str">
        <f>IF(F305="","",IFERROR(VLOOKUP(F305,Sales_Tax_Settings!$A$15:$B$27,2,FALSE),"Tax Unknown"))</f>
        <v/>
      </c>
      <c r="J305" t="str">
        <f t="shared" si="29"/>
        <v/>
      </c>
      <c r="K305" t="str">
        <f>IF(AND(Sales_Tax_Settings!$B$5="Yes",G305="Personal Expense",J305="Taxable"),"Yes","No")</f>
        <v>No</v>
      </c>
      <c r="L305" s="4">
        <f t="shared" si="30"/>
        <v>0</v>
      </c>
      <c r="M305" s="4">
        <f t="shared" si="31"/>
        <v>0</v>
      </c>
      <c r="N305" s="4">
        <f t="shared" si="32"/>
        <v>0</v>
      </c>
      <c r="O305" s="4">
        <f t="shared" si="33"/>
        <v>0</v>
      </c>
      <c r="P305" s="4">
        <f>IF(K305&lt;&gt;"Yes",0,IF(Sales_Tax_Settings!$B$6="Yes",E305/(1+Sales_Tax_Settings!$B$10),E305))</f>
        <v>0</v>
      </c>
      <c r="Q305" s="4">
        <f>IF(K305&lt;&gt;"Yes",0,P305*Sales_Tax_Settings!$B$8)</f>
        <v>0</v>
      </c>
      <c r="R305" s="4">
        <f>IF(K305&lt;&gt;"Yes",0,P305*Sales_Tax_Settings!$B$9)</f>
        <v>0</v>
      </c>
      <c r="S305" s="4">
        <f t="shared" si="34"/>
        <v>0</v>
      </c>
    </row>
    <row r="306" spans="1:19" x14ac:dyDescent="0.3">
      <c r="A306" t="str">
        <f>IF(Expense_Input!A306="","",Expense_Input!A306)</f>
        <v/>
      </c>
      <c r="B306" t="str">
        <f>IF(Expense_Input!B306="","",Expense_Input!B306)</f>
        <v/>
      </c>
      <c r="C306" t="str">
        <f t="shared" si="28"/>
        <v/>
      </c>
      <c r="D306" t="str">
        <f>IF(Expense_Input!C306="","",Expense_Input!C306)</f>
        <v/>
      </c>
      <c r="E306" s="4" t="str">
        <f>IF(Expense_Input!D306="","",Expense_Input!D306)</f>
        <v/>
      </c>
      <c r="F306" t="str">
        <f>IF(Expense_Input!E306="","",Expense_Input!E306)</f>
        <v/>
      </c>
      <c r="G306" t="str">
        <f>IF(Expense_Input!H306="","",Expense_Input!H306)</f>
        <v/>
      </c>
      <c r="H306" t="str">
        <f>IF(Expense_Input!I306="","Auto",Expense_Input!I306)</f>
        <v>Auto</v>
      </c>
      <c r="I306" t="str">
        <f>IF(F306="","",IFERROR(VLOOKUP(F306,Sales_Tax_Settings!$A$15:$B$27,2,FALSE),"Tax Unknown"))</f>
        <v/>
      </c>
      <c r="J306" t="str">
        <f t="shared" si="29"/>
        <v/>
      </c>
      <c r="K306" t="str">
        <f>IF(AND(Sales_Tax_Settings!$B$5="Yes",G306="Personal Expense",J306="Taxable"),"Yes","No")</f>
        <v>No</v>
      </c>
      <c r="L306" s="4">
        <f t="shared" si="30"/>
        <v>0</v>
      </c>
      <c r="M306" s="4">
        <f t="shared" si="31"/>
        <v>0</v>
      </c>
      <c r="N306" s="4">
        <f t="shared" si="32"/>
        <v>0</v>
      </c>
      <c r="O306" s="4">
        <f t="shared" si="33"/>
        <v>0</v>
      </c>
      <c r="P306" s="4">
        <f>IF(K306&lt;&gt;"Yes",0,IF(Sales_Tax_Settings!$B$6="Yes",E306/(1+Sales_Tax_Settings!$B$10),E306))</f>
        <v>0</v>
      </c>
      <c r="Q306" s="4">
        <f>IF(K306&lt;&gt;"Yes",0,P306*Sales_Tax_Settings!$B$8)</f>
        <v>0</v>
      </c>
      <c r="R306" s="4">
        <f>IF(K306&lt;&gt;"Yes",0,P306*Sales_Tax_Settings!$B$9)</f>
        <v>0</v>
      </c>
      <c r="S306" s="4">
        <f t="shared" si="34"/>
        <v>0</v>
      </c>
    </row>
    <row r="307" spans="1:19" x14ac:dyDescent="0.3">
      <c r="A307" t="str">
        <f>IF(Expense_Input!A307="","",Expense_Input!A307)</f>
        <v/>
      </c>
      <c r="B307" t="str">
        <f>IF(Expense_Input!B307="","",Expense_Input!B307)</f>
        <v/>
      </c>
      <c r="C307" t="str">
        <f t="shared" si="28"/>
        <v/>
      </c>
      <c r="D307" t="str">
        <f>IF(Expense_Input!C307="","",Expense_Input!C307)</f>
        <v/>
      </c>
      <c r="E307" s="4" t="str">
        <f>IF(Expense_Input!D307="","",Expense_Input!D307)</f>
        <v/>
      </c>
      <c r="F307" t="str">
        <f>IF(Expense_Input!E307="","",Expense_Input!E307)</f>
        <v/>
      </c>
      <c r="G307" t="str">
        <f>IF(Expense_Input!H307="","",Expense_Input!H307)</f>
        <v/>
      </c>
      <c r="H307" t="str">
        <f>IF(Expense_Input!I307="","Auto",Expense_Input!I307)</f>
        <v>Auto</v>
      </c>
      <c r="I307" t="str">
        <f>IF(F307="","",IFERROR(VLOOKUP(F307,Sales_Tax_Settings!$A$15:$B$27,2,FALSE),"Tax Unknown"))</f>
        <v/>
      </c>
      <c r="J307" t="str">
        <f t="shared" si="29"/>
        <v/>
      </c>
      <c r="K307" t="str">
        <f>IF(AND(Sales_Tax_Settings!$B$5="Yes",G307="Personal Expense",J307="Taxable"),"Yes","No")</f>
        <v>No</v>
      </c>
      <c r="L307" s="4">
        <f t="shared" si="30"/>
        <v>0</v>
      </c>
      <c r="M307" s="4">
        <f t="shared" si="31"/>
        <v>0</v>
      </c>
      <c r="N307" s="4">
        <f t="shared" si="32"/>
        <v>0</v>
      </c>
      <c r="O307" s="4">
        <f t="shared" si="33"/>
        <v>0</v>
      </c>
      <c r="P307" s="4">
        <f>IF(K307&lt;&gt;"Yes",0,IF(Sales_Tax_Settings!$B$6="Yes",E307/(1+Sales_Tax_Settings!$B$10),E307))</f>
        <v>0</v>
      </c>
      <c r="Q307" s="4">
        <f>IF(K307&lt;&gt;"Yes",0,P307*Sales_Tax_Settings!$B$8)</f>
        <v>0</v>
      </c>
      <c r="R307" s="4">
        <f>IF(K307&lt;&gt;"Yes",0,P307*Sales_Tax_Settings!$B$9)</f>
        <v>0</v>
      </c>
      <c r="S307" s="4">
        <f t="shared" si="34"/>
        <v>0</v>
      </c>
    </row>
    <row r="308" spans="1:19" x14ac:dyDescent="0.3">
      <c r="A308" t="str">
        <f>IF(Expense_Input!A308="","",Expense_Input!A308)</f>
        <v/>
      </c>
      <c r="B308" t="str">
        <f>IF(Expense_Input!B308="","",Expense_Input!B308)</f>
        <v/>
      </c>
      <c r="C308" t="str">
        <f t="shared" si="28"/>
        <v/>
      </c>
      <c r="D308" t="str">
        <f>IF(Expense_Input!C308="","",Expense_Input!C308)</f>
        <v/>
      </c>
      <c r="E308" s="4" t="str">
        <f>IF(Expense_Input!D308="","",Expense_Input!D308)</f>
        <v/>
      </c>
      <c r="F308" t="str">
        <f>IF(Expense_Input!E308="","",Expense_Input!E308)</f>
        <v/>
      </c>
      <c r="G308" t="str">
        <f>IF(Expense_Input!H308="","",Expense_Input!H308)</f>
        <v/>
      </c>
      <c r="H308" t="str">
        <f>IF(Expense_Input!I308="","Auto",Expense_Input!I308)</f>
        <v>Auto</v>
      </c>
      <c r="I308" t="str">
        <f>IF(F308="","",IFERROR(VLOOKUP(F308,Sales_Tax_Settings!$A$15:$B$27,2,FALSE),"Tax Unknown"))</f>
        <v/>
      </c>
      <c r="J308" t="str">
        <f t="shared" si="29"/>
        <v/>
      </c>
      <c r="K308" t="str">
        <f>IF(AND(Sales_Tax_Settings!$B$5="Yes",G308="Personal Expense",J308="Taxable"),"Yes","No")</f>
        <v>No</v>
      </c>
      <c r="L308" s="4">
        <f t="shared" si="30"/>
        <v>0</v>
      </c>
      <c r="M308" s="4">
        <f t="shared" si="31"/>
        <v>0</v>
      </c>
      <c r="N308" s="4">
        <f t="shared" si="32"/>
        <v>0</v>
      </c>
      <c r="O308" s="4">
        <f t="shared" si="33"/>
        <v>0</v>
      </c>
      <c r="P308" s="4">
        <f>IF(K308&lt;&gt;"Yes",0,IF(Sales_Tax_Settings!$B$6="Yes",E308/(1+Sales_Tax_Settings!$B$10),E308))</f>
        <v>0</v>
      </c>
      <c r="Q308" s="4">
        <f>IF(K308&lt;&gt;"Yes",0,P308*Sales_Tax_Settings!$B$8)</f>
        <v>0</v>
      </c>
      <c r="R308" s="4">
        <f>IF(K308&lt;&gt;"Yes",0,P308*Sales_Tax_Settings!$B$9)</f>
        <v>0</v>
      </c>
      <c r="S308" s="4">
        <f t="shared" si="34"/>
        <v>0</v>
      </c>
    </row>
    <row r="309" spans="1:19" x14ac:dyDescent="0.3">
      <c r="A309" t="str">
        <f>IF(Expense_Input!A309="","",Expense_Input!A309)</f>
        <v/>
      </c>
      <c r="B309" t="str">
        <f>IF(Expense_Input!B309="","",Expense_Input!B309)</f>
        <v/>
      </c>
      <c r="C309" t="str">
        <f t="shared" si="28"/>
        <v/>
      </c>
      <c r="D309" t="str">
        <f>IF(Expense_Input!C309="","",Expense_Input!C309)</f>
        <v/>
      </c>
      <c r="E309" s="4" t="str">
        <f>IF(Expense_Input!D309="","",Expense_Input!D309)</f>
        <v/>
      </c>
      <c r="F309" t="str">
        <f>IF(Expense_Input!E309="","",Expense_Input!E309)</f>
        <v/>
      </c>
      <c r="G309" t="str">
        <f>IF(Expense_Input!H309="","",Expense_Input!H309)</f>
        <v/>
      </c>
      <c r="H309" t="str">
        <f>IF(Expense_Input!I309="","Auto",Expense_Input!I309)</f>
        <v>Auto</v>
      </c>
      <c r="I309" t="str">
        <f>IF(F309="","",IFERROR(VLOOKUP(F309,Sales_Tax_Settings!$A$15:$B$27,2,FALSE),"Tax Unknown"))</f>
        <v/>
      </c>
      <c r="J309" t="str">
        <f t="shared" si="29"/>
        <v/>
      </c>
      <c r="K309" t="str">
        <f>IF(AND(Sales_Tax_Settings!$B$5="Yes",G309="Personal Expense",J309="Taxable"),"Yes","No")</f>
        <v>No</v>
      </c>
      <c r="L309" s="4">
        <f t="shared" si="30"/>
        <v>0</v>
      </c>
      <c r="M309" s="4">
        <f t="shared" si="31"/>
        <v>0</v>
      </c>
      <c r="N309" s="4">
        <f t="shared" si="32"/>
        <v>0</v>
      </c>
      <c r="O309" s="4">
        <f t="shared" si="33"/>
        <v>0</v>
      </c>
      <c r="P309" s="4">
        <f>IF(K309&lt;&gt;"Yes",0,IF(Sales_Tax_Settings!$B$6="Yes",E309/(1+Sales_Tax_Settings!$B$10),E309))</f>
        <v>0</v>
      </c>
      <c r="Q309" s="4">
        <f>IF(K309&lt;&gt;"Yes",0,P309*Sales_Tax_Settings!$B$8)</f>
        <v>0</v>
      </c>
      <c r="R309" s="4">
        <f>IF(K309&lt;&gt;"Yes",0,P309*Sales_Tax_Settings!$B$9)</f>
        <v>0</v>
      </c>
      <c r="S309" s="4">
        <f t="shared" si="34"/>
        <v>0</v>
      </c>
    </row>
    <row r="310" spans="1:19" x14ac:dyDescent="0.3">
      <c r="A310" t="str">
        <f>IF(Expense_Input!A310="","",Expense_Input!A310)</f>
        <v/>
      </c>
      <c r="B310" t="str">
        <f>IF(Expense_Input!B310="","",Expense_Input!B310)</f>
        <v/>
      </c>
      <c r="C310" t="str">
        <f t="shared" si="28"/>
        <v/>
      </c>
      <c r="D310" t="str">
        <f>IF(Expense_Input!C310="","",Expense_Input!C310)</f>
        <v/>
      </c>
      <c r="E310" s="4" t="str">
        <f>IF(Expense_Input!D310="","",Expense_Input!D310)</f>
        <v/>
      </c>
      <c r="F310" t="str">
        <f>IF(Expense_Input!E310="","",Expense_Input!E310)</f>
        <v/>
      </c>
      <c r="G310" t="str">
        <f>IF(Expense_Input!H310="","",Expense_Input!H310)</f>
        <v/>
      </c>
      <c r="H310" t="str">
        <f>IF(Expense_Input!I310="","Auto",Expense_Input!I310)</f>
        <v>Auto</v>
      </c>
      <c r="I310" t="str">
        <f>IF(F310="","",IFERROR(VLOOKUP(F310,Sales_Tax_Settings!$A$15:$B$27,2,FALSE),"Tax Unknown"))</f>
        <v/>
      </c>
      <c r="J310" t="str">
        <f t="shared" si="29"/>
        <v/>
      </c>
      <c r="K310" t="str">
        <f>IF(AND(Sales_Tax_Settings!$B$5="Yes",G310="Personal Expense",J310="Taxable"),"Yes","No")</f>
        <v>No</v>
      </c>
      <c r="L310" s="4">
        <f t="shared" si="30"/>
        <v>0</v>
      </c>
      <c r="M310" s="4">
        <f t="shared" si="31"/>
        <v>0</v>
      </c>
      <c r="N310" s="4">
        <f t="shared" si="32"/>
        <v>0</v>
      </c>
      <c r="O310" s="4">
        <f t="shared" si="33"/>
        <v>0</v>
      </c>
      <c r="P310" s="4">
        <f>IF(K310&lt;&gt;"Yes",0,IF(Sales_Tax_Settings!$B$6="Yes",E310/(1+Sales_Tax_Settings!$B$10),E310))</f>
        <v>0</v>
      </c>
      <c r="Q310" s="4">
        <f>IF(K310&lt;&gt;"Yes",0,P310*Sales_Tax_Settings!$B$8)</f>
        <v>0</v>
      </c>
      <c r="R310" s="4">
        <f>IF(K310&lt;&gt;"Yes",0,P310*Sales_Tax_Settings!$B$9)</f>
        <v>0</v>
      </c>
      <c r="S310" s="4">
        <f t="shared" si="34"/>
        <v>0</v>
      </c>
    </row>
    <row r="311" spans="1:19" x14ac:dyDescent="0.3">
      <c r="A311" t="str">
        <f>IF(Expense_Input!A311="","",Expense_Input!A311)</f>
        <v/>
      </c>
      <c r="B311" t="str">
        <f>IF(Expense_Input!B311="","",Expense_Input!B311)</f>
        <v/>
      </c>
      <c r="C311" t="str">
        <f t="shared" si="28"/>
        <v/>
      </c>
      <c r="D311" t="str">
        <f>IF(Expense_Input!C311="","",Expense_Input!C311)</f>
        <v/>
      </c>
      <c r="E311" s="4" t="str">
        <f>IF(Expense_Input!D311="","",Expense_Input!D311)</f>
        <v/>
      </c>
      <c r="F311" t="str">
        <f>IF(Expense_Input!E311="","",Expense_Input!E311)</f>
        <v/>
      </c>
      <c r="G311" t="str">
        <f>IF(Expense_Input!H311="","",Expense_Input!H311)</f>
        <v/>
      </c>
      <c r="H311" t="str">
        <f>IF(Expense_Input!I311="","Auto",Expense_Input!I311)</f>
        <v>Auto</v>
      </c>
      <c r="I311" t="str">
        <f>IF(F311="","",IFERROR(VLOOKUP(F311,Sales_Tax_Settings!$A$15:$B$27,2,FALSE),"Tax Unknown"))</f>
        <v/>
      </c>
      <c r="J311" t="str">
        <f t="shared" si="29"/>
        <v/>
      </c>
      <c r="K311" t="str">
        <f>IF(AND(Sales_Tax_Settings!$B$5="Yes",G311="Personal Expense",J311="Taxable"),"Yes","No")</f>
        <v>No</v>
      </c>
      <c r="L311" s="4">
        <f t="shared" si="30"/>
        <v>0</v>
      </c>
      <c r="M311" s="4">
        <f t="shared" si="31"/>
        <v>0</v>
      </c>
      <c r="N311" s="4">
        <f t="shared" si="32"/>
        <v>0</v>
      </c>
      <c r="O311" s="4">
        <f t="shared" si="33"/>
        <v>0</v>
      </c>
      <c r="P311" s="4">
        <f>IF(K311&lt;&gt;"Yes",0,IF(Sales_Tax_Settings!$B$6="Yes",E311/(1+Sales_Tax_Settings!$B$10),E311))</f>
        <v>0</v>
      </c>
      <c r="Q311" s="4">
        <f>IF(K311&lt;&gt;"Yes",0,P311*Sales_Tax_Settings!$B$8)</f>
        <v>0</v>
      </c>
      <c r="R311" s="4">
        <f>IF(K311&lt;&gt;"Yes",0,P311*Sales_Tax_Settings!$B$9)</f>
        <v>0</v>
      </c>
      <c r="S311" s="4">
        <f t="shared" si="34"/>
        <v>0</v>
      </c>
    </row>
    <row r="312" spans="1:19" x14ac:dyDescent="0.3">
      <c r="A312" t="str">
        <f>IF(Expense_Input!A312="","",Expense_Input!A312)</f>
        <v/>
      </c>
      <c r="B312" t="str">
        <f>IF(Expense_Input!B312="","",Expense_Input!B312)</f>
        <v/>
      </c>
      <c r="C312" t="str">
        <f t="shared" si="28"/>
        <v/>
      </c>
      <c r="D312" t="str">
        <f>IF(Expense_Input!C312="","",Expense_Input!C312)</f>
        <v/>
      </c>
      <c r="E312" s="4" t="str">
        <f>IF(Expense_Input!D312="","",Expense_Input!D312)</f>
        <v/>
      </c>
      <c r="F312" t="str">
        <f>IF(Expense_Input!E312="","",Expense_Input!E312)</f>
        <v/>
      </c>
      <c r="G312" t="str">
        <f>IF(Expense_Input!H312="","",Expense_Input!H312)</f>
        <v/>
      </c>
      <c r="H312" t="str">
        <f>IF(Expense_Input!I312="","Auto",Expense_Input!I312)</f>
        <v>Auto</v>
      </c>
      <c r="I312" t="str">
        <f>IF(F312="","",IFERROR(VLOOKUP(F312,Sales_Tax_Settings!$A$15:$B$27,2,FALSE),"Tax Unknown"))</f>
        <v/>
      </c>
      <c r="J312" t="str">
        <f t="shared" si="29"/>
        <v/>
      </c>
      <c r="K312" t="str">
        <f>IF(AND(Sales_Tax_Settings!$B$5="Yes",G312="Personal Expense",J312="Taxable"),"Yes","No")</f>
        <v>No</v>
      </c>
      <c r="L312" s="4">
        <f t="shared" si="30"/>
        <v>0</v>
      </c>
      <c r="M312" s="4">
        <f t="shared" si="31"/>
        <v>0</v>
      </c>
      <c r="N312" s="4">
        <f t="shared" si="32"/>
        <v>0</v>
      </c>
      <c r="O312" s="4">
        <f t="shared" si="33"/>
        <v>0</v>
      </c>
      <c r="P312" s="4">
        <f>IF(K312&lt;&gt;"Yes",0,IF(Sales_Tax_Settings!$B$6="Yes",E312/(1+Sales_Tax_Settings!$B$10),E312))</f>
        <v>0</v>
      </c>
      <c r="Q312" s="4">
        <f>IF(K312&lt;&gt;"Yes",0,P312*Sales_Tax_Settings!$B$8)</f>
        <v>0</v>
      </c>
      <c r="R312" s="4">
        <f>IF(K312&lt;&gt;"Yes",0,P312*Sales_Tax_Settings!$B$9)</f>
        <v>0</v>
      </c>
      <c r="S312" s="4">
        <f t="shared" si="34"/>
        <v>0</v>
      </c>
    </row>
    <row r="313" spans="1:19" x14ac:dyDescent="0.3">
      <c r="A313" t="str">
        <f>IF(Expense_Input!A313="","",Expense_Input!A313)</f>
        <v/>
      </c>
      <c r="B313" t="str">
        <f>IF(Expense_Input!B313="","",Expense_Input!B313)</f>
        <v/>
      </c>
      <c r="C313" t="str">
        <f t="shared" si="28"/>
        <v/>
      </c>
      <c r="D313" t="str">
        <f>IF(Expense_Input!C313="","",Expense_Input!C313)</f>
        <v/>
      </c>
      <c r="E313" s="4" t="str">
        <f>IF(Expense_Input!D313="","",Expense_Input!D313)</f>
        <v/>
      </c>
      <c r="F313" t="str">
        <f>IF(Expense_Input!E313="","",Expense_Input!E313)</f>
        <v/>
      </c>
      <c r="G313" t="str">
        <f>IF(Expense_Input!H313="","",Expense_Input!H313)</f>
        <v/>
      </c>
      <c r="H313" t="str">
        <f>IF(Expense_Input!I313="","Auto",Expense_Input!I313)</f>
        <v>Auto</v>
      </c>
      <c r="I313" t="str">
        <f>IF(F313="","",IFERROR(VLOOKUP(F313,Sales_Tax_Settings!$A$15:$B$27,2,FALSE),"Tax Unknown"))</f>
        <v/>
      </c>
      <c r="J313" t="str">
        <f t="shared" si="29"/>
        <v/>
      </c>
      <c r="K313" t="str">
        <f>IF(AND(Sales_Tax_Settings!$B$5="Yes",G313="Personal Expense",J313="Taxable"),"Yes","No")</f>
        <v>No</v>
      </c>
      <c r="L313" s="4">
        <f t="shared" si="30"/>
        <v>0</v>
      </c>
      <c r="M313" s="4">
        <f t="shared" si="31"/>
        <v>0</v>
      </c>
      <c r="N313" s="4">
        <f t="shared" si="32"/>
        <v>0</v>
      </c>
      <c r="O313" s="4">
        <f t="shared" si="33"/>
        <v>0</v>
      </c>
      <c r="P313" s="4">
        <f>IF(K313&lt;&gt;"Yes",0,IF(Sales_Tax_Settings!$B$6="Yes",E313/(1+Sales_Tax_Settings!$B$10),E313))</f>
        <v>0</v>
      </c>
      <c r="Q313" s="4">
        <f>IF(K313&lt;&gt;"Yes",0,P313*Sales_Tax_Settings!$B$8)</f>
        <v>0</v>
      </c>
      <c r="R313" s="4">
        <f>IF(K313&lt;&gt;"Yes",0,P313*Sales_Tax_Settings!$B$9)</f>
        <v>0</v>
      </c>
      <c r="S313" s="4">
        <f t="shared" si="34"/>
        <v>0</v>
      </c>
    </row>
    <row r="314" spans="1:19" x14ac:dyDescent="0.3">
      <c r="A314" t="str">
        <f>IF(Expense_Input!A314="","",Expense_Input!A314)</f>
        <v/>
      </c>
      <c r="B314" t="str">
        <f>IF(Expense_Input!B314="","",Expense_Input!B314)</f>
        <v/>
      </c>
      <c r="C314" t="str">
        <f t="shared" si="28"/>
        <v/>
      </c>
      <c r="D314" t="str">
        <f>IF(Expense_Input!C314="","",Expense_Input!C314)</f>
        <v/>
      </c>
      <c r="E314" s="4" t="str">
        <f>IF(Expense_Input!D314="","",Expense_Input!D314)</f>
        <v/>
      </c>
      <c r="F314" t="str">
        <f>IF(Expense_Input!E314="","",Expense_Input!E314)</f>
        <v/>
      </c>
      <c r="G314" t="str">
        <f>IF(Expense_Input!H314="","",Expense_Input!H314)</f>
        <v/>
      </c>
      <c r="H314" t="str">
        <f>IF(Expense_Input!I314="","Auto",Expense_Input!I314)</f>
        <v>Auto</v>
      </c>
      <c r="I314" t="str">
        <f>IF(F314="","",IFERROR(VLOOKUP(F314,Sales_Tax_Settings!$A$15:$B$27,2,FALSE),"Tax Unknown"))</f>
        <v/>
      </c>
      <c r="J314" t="str">
        <f t="shared" si="29"/>
        <v/>
      </c>
      <c r="K314" t="str">
        <f>IF(AND(Sales_Tax_Settings!$B$5="Yes",G314="Personal Expense",J314="Taxable"),"Yes","No")</f>
        <v>No</v>
      </c>
      <c r="L314" s="4">
        <f t="shared" si="30"/>
        <v>0</v>
      </c>
      <c r="M314" s="4">
        <f t="shared" si="31"/>
        <v>0</v>
      </c>
      <c r="N314" s="4">
        <f t="shared" si="32"/>
        <v>0</v>
      </c>
      <c r="O314" s="4">
        <f t="shared" si="33"/>
        <v>0</v>
      </c>
      <c r="P314" s="4">
        <f>IF(K314&lt;&gt;"Yes",0,IF(Sales_Tax_Settings!$B$6="Yes",E314/(1+Sales_Tax_Settings!$B$10),E314))</f>
        <v>0</v>
      </c>
      <c r="Q314" s="4">
        <f>IF(K314&lt;&gt;"Yes",0,P314*Sales_Tax_Settings!$B$8)</f>
        <v>0</v>
      </c>
      <c r="R314" s="4">
        <f>IF(K314&lt;&gt;"Yes",0,P314*Sales_Tax_Settings!$B$9)</f>
        <v>0</v>
      </c>
      <c r="S314" s="4">
        <f t="shared" si="34"/>
        <v>0</v>
      </c>
    </row>
    <row r="315" spans="1:19" x14ac:dyDescent="0.3">
      <c r="A315" t="str">
        <f>IF(Expense_Input!A315="","",Expense_Input!A315)</f>
        <v/>
      </c>
      <c r="B315" t="str">
        <f>IF(Expense_Input!B315="","",Expense_Input!B315)</f>
        <v/>
      </c>
      <c r="C315" t="str">
        <f t="shared" si="28"/>
        <v/>
      </c>
      <c r="D315" t="str">
        <f>IF(Expense_Input!C315="","",Expense_Input!C315)</f>
        <v/>
      </c>
      <c r="E315" s="4" t="str">
        <f>IF(Expense_Input!D315="","",Expense_Input!D315)</f>
        <v/>
      </c>
      <c r="F315" t="str">
        <f>IF(Expense_Input!E315="","",Expense_Input!E315)</f>
        <v/>
      </c>
      <c r="G315" t="str">
        <f>IF(Expense_Input!H315="","",Expense_Input!H315)</f>
        <v/>
      </c>
      <c r="H315" t="str">
        <f>IF(Expense_Input!I315="","Auto",Expense_Input!I315)</f>
        <v>Auto</v>
      </c>
      <c r="I315" t="str">
        <f>IF(F315="","",IFERROR(VLOOKUP(F315,Sales_Tax_Settings!$A$15:$B$27,2,FALSE),"Tax Unknown"))</f>
        <v/>
      </c>
      <c r="J315" t="str">
        <f t="shared" si="29"/>
        <v/>
      </c>
      <c r="K315" t="str">
        <f>IF(AND(Sales_Tax_Settings!$B$5="Yes",G315="Personal Expense",J315="Taxable"),"Yes","No")</f>
        <v>No</v>
      </c>
      <c r="L315" s="4">
        <f t="shared" si="30"/>
        <v>0</v>
      </c>
      <c r="M315" s="4">
        <f t="shared" si="31"/>
        <v>0</v>
      </c>
      <c r="N315" s="4">
        <f t="shared" si="32"/>
        <v>0</v>
      </c>
      <c r="O315" s="4">
        <f t="shared" si="33"/>
        <v>0</v>
      </c>
      <c r="P315" s="4">
        <f>IF(K315&lt;&gt;"Yes",0,IF(Sales_Tax_Settings!$B$6="Yes",E315/(1+Sales_Tax_Settings!$B$10),E315))</f>
        <v>0</v>
      </c>
      <c r="Q315" s="4">
        <f>IF(K315&lt;&gt;"Yes",0,P315*Sales_Tax_Settings!$B$8)</f>
        <v>0</v>
      </c>
      <c r="R315" s="4">
        <f>IF(K315&lt;&gt;"Yes",0,P315*Sales_Tax_Settings!$B$9)</f>
        <v>0</v>
      </c>
      <c r="S315" s="4">
        <f t="shared" si="34"/>
        <v>0</v>
      </c>
    </row>
    <row r="316" spans="1:19" x14ac:dyDescent="0.3">
      <c r="A316" t="str">
        <f>IF(Expense_Input!A316="","",Expense_Input!A316)</f>
        <v/>
      </c>
      <c r="B316" t="str">
        <f>IF(Expense_Input!B316="","",Expense_Input!B316)</f>
        <v/>
      </c>
      <c r="C316" t="str">
        <f t="shared" si="28"/>
        <v/>
      </c>
      <c r="D316" t="str">
        <f>IF(Expense_Input!C316="","",Expense_Input!C316)</f>
        <v/>
      </c>
      <c r="E316" s="4" t="str">
        <f>IF(Expense_Input!D316="","",Expense_Input!D316)</f>
        <v/>
      </c>
      <c r="F316" t="str">
        <f>IF(Expense_Input!E316="","",Expense_Input!E316)</f>
        <v/>
      </c>
      <c r="G316" t="str">
        <f>IF(Expense_Input!H316="","",Expense_Input!H316)</f>
        <v/>
      </c>
      <c r="H316" t="str">
        <f>IF(Expense_Input!I316="","Auto",Expense_Input!I316)</f>
        <v>Auto</v>
      </c>
      <c r="I316" t="str">
        <f>IF(F316="","",IFERROR(VLOOKUP(F316,Sales_Tax_Settings!$A$15:$B$27,2,FALSE),"Tax Unknown"))</f>
        <v/>
      </c>
      <c r="J316" t="str">
        <f t="shared" si="29"/>
        <v/>
      </c>
      <c r="K316" t="str">
        <f>IF(AND(Sales_Tax_Settings!$B$5="Yes",G316="Personal Expense",J316="Taxable"),"Yes","No")</f>
        <v>No</v>
      </c>
      <c r="L316" s="4">
        <f t="shared" si="30"/>
        <v>0</v>
      </c>
      <c r="M316" s="4">
        <f t="shared" si="31"/>
        <v>0</v>
      </c>
      <c r="N316" s="4">
        <f t="shared" si="32"/>
        <v>0</v>
      </c>
      <c r="O316" s="4">
        <f t="shared" si="33"/>
        <v>0</v>
      </c>
      <c r="P316" s="4">
        <f>IF(K316&lt;&gt;"Yes",0,IF(Sales_Tax_Settings!$B$6="Yes",E316/(1+Sales_Tax_Settings!$B$10),E316))</f>
        <v>0</v>
      </c>
      <c r="Q316" s="4">
        <f>IF(K316&lt;&gt;"Yes",0,P316*Sales_Tax_Settings!$B$8)</f>
        <v>0</v>
      </c>
      <c r="R316" s="4">
        <f>IF(K316&lt;&gt;"Yes",0,P316*Sales_Tax_Settings!$B$9)</f>
        <v>0</v>
      </c>
      <c r="S316" s="4">
        <f t="shared" si="34"/>
        <v>0</v>
      </c>
    </row>
    <row r="317" spans="1:19" x14ac:dyDescent="0.3">
      <c r="A317" t="str">
        <f>IF(Expense_Input!A317="","",Expense_Input!A317)</f>
        <v/>
      </c>
      <c r="B317" t="str">
        <f>IF(Expense_Input!B317="","",Expense_Input!B317)</f>
        <v/>
      </c>
      <c r="C317" t="str">
        <f t="shared" si="28"/>
        <v/>
      </c>
      <c r="D317" t="str">
        <f>IF(Expense_Input!C317="","",Expense_Input!C317)</f>
        <v/>
      </c>
      <c r="E317" s="4" t="str">
        <f>IF(Expense_Input!D317="","",Expense_Input!D317)</f>
        <v/>
      </c>
      <c r="F317" t="str">
        <f>IF(Expense_Input!E317="","",Expense_Input!E317)</f>
        <v/>
      </c>
      <c r="G317" t="str">
        <f>IF(Expense_Input!H317="","",Expense_Input!H317)</f>
        <v/>
      </c>
      <c r="H317" t="str">
        <f>IF(Expense_Input!I317="","Auto",Expense_Input!I317)</f>
        <v>Auto</v>
      </c>
      <c r="I317" t="str">
        <f>IF(F317="","",IFERROR(VLOOKUP(F317,Sales_Tax_Settings!$A$15:$B$27,2,FALSE),"Tax Unknown"))</f>
        <v/>
      </c>
      <c r="J317" t="str">
        <f t="shared" si="29"/>
        <v/>
      </c>
      <c r="K317" t="str">
        <f>IF(AND(Sales_Tax_Settings!$B$5="Yes",G317="Personal Expense",J317="Taxable"),"Yes","No")</f>
        <v>No</v>
      </c>
      <c r="L317" s="4">
        <f t="shared" si="30"/>
        <v>0</v>
      </c>
      <c r="M317" s="4">
        <f t="shared" si="31"/>
        <v>0</v>
      </c>
      <c r="N317" s="4">
        <f t="shared" si="32"/>
        <v>0</v>
      </c>
      <c r="O317" s="4">
        <f t="shared" si="33"/>
        <v>0</v>
      </c>
      <c r="P317" s="4">
        <f>IF(K317&lt;&gt;"Yes",0,IF(Sales_Tax_Settings!$B$6="Yes",E317/(1+Sales_Tax_Settings!$B$10),E317))</f>
        <v>0</v>
      </c>
      <c r="Q317" s="4">
        <f>IF(K317&lt;&gt;"Yes",0,P317*Sales_Tax_Settings!$B$8)</f>
        <v>0</v>
      </c>
      <c r="R317" s="4">
        <f>IF(K317&lt;&gt;"Yes",0,P317*Sales_Tax_Settings!$B$9)</f>
        <v>0</v>
      </c>
      <c r="S317" s="4">
        <f t="shared" si="34"/>
        <v>0</v>
      </c>
    </row>
    <row r="318" spans="1:19" x14ac:dyDescent="0.3">
      <c r="A318" t="str">
        <f>IF(Expense_Input!A318="","",Expense_Input!A318)</f>
        <v/>
      </c>
      <c r="B318" t="str">
        <f>IF(Expense_Input!B318="","",Expense_Input!B318)</f>
        <v/>
      </c>
      <c r="C318" t="str">
        <f t="shared" si="28"/>
        <v/>
      </c>
      <c r="D318" t="str">
        <f>IF(Expense_Input!C318="","",Expense_Input!C318)</f>
        <v/>
      </c>
      <c r="E318" s="4" t="str">
        <f>IF(Expense_Input!D318="","",Expense_Input!D318)</f>
        <v/>
      </c>
      <c r="F318" t="str">
        <f>IF(Expense_Input!E318="","",Expense_Input!E318)</f>
        <v/>
      </c>
      <c r="G318" t="str">
        <f>IF(Expense_Input!H318="","",Expense_Input!H318)</f>
        <v/>
      </c>
      <c r="H318" t="str">
        <f>IF(Expense_Input!I318="","Auto",Expense_Input!I318)</f>
        <v>Auto</v>
      </c>
      <c r="I318" t="str">
        <f>IF(F318="","",IFERROR(VLOOKUP(F318,Sales_Tax_Settings!$A$15:$B$27,2,FALSE),"Tax Unknown"))</f>
        <v/>
      </c>
      <c r="J318" t="str">
        <f t="shared" si="29"/>
        <v/>
      </c>
      <c r="K318" t="str">
        <f>IF(AND(Sales_Tax_Settings!$B$5="Yes",G318="Personal Expense",J318="Taxable"),"Yes","No")</f>
        <v>No</v>
      </c>
      <c r="L318" s="4">
        <f t="shared" si="30"/>
        <v>0</v>
      </c>
      <c r="M318" s="4">
        <f t="shared" si="31"/>
        <v>0</v>
      </c>
      <c r="N318" s="4">
        <f t="shared" si="32"/>
        <v>0</v>
      </c>
      <c r="O318" s="4">
        <f t="shared" si="33"/>
        <v>0</v>
      </c>
      <c r="P318" s="4">
        <f>IF(K318&lt;&gt;"Yes",0,IF(Sales_Tax_Settings!$B$6="Yes",E318/(1+Sales_Tax_Settings!$B$10),E318))</f>
        <v>0</v>
      </c>
      <c r="Q318" s="4">
        <f>IF(K318&lt;&gt;"Yes",0,P318*Sales_Tax_Settings!$B$8)</f>
        <v>0</v>
      </c>
      <c r="R318" s="4">
        <f>IF(K318&lt;&gt;"Yes",0,P318*Sales_Tax_Settings!$B$9)</f>
        <v>0</v>
      </c>
      <c r="S318" s="4">
        <f t="shared" si="34"/>
        <v>0</v>
      </c>
    </row>
    <row r="319" spans="1:19" x14ac:dyDescent="0.3">
      <c r="A319" t="str">
        <f>IF(Expense_Input!A319="","",Expense_Input!A319)</f>
        <v/>
      </c>
      <c r="B319" t="str">
        <f>IF(Expense_Input!B319="","",Expense_Input!B319)</f>
        <v/>
      </c>
      <c r="C319" t="str">
        <f t="shared" si="28"/>
        <v/>
      </c>
      <c r="D319" t="str">
        <f>IF(Expense_Input!C319="","",Expense_Input!C319)</f>
        <v/>
      </c>
      <c r="E319" s="4" t="str">
        <f>IF(Expense_Input!D319="","",Expense_Input!D319)</f>
        <v/>
      </c>
      <c r="F319" t="str">
        <f>IF(Expense_Input!E319="","",Expense_Input!E319)</f>
        <v/>
      </c>
      <c r="G319" t="str">
        <f>IF(Expense_Input!H319="","",Expense_Input!H319)</f>
        <v/>
      </c>
      <c r="H319" t="str">
        <f>IF(Expense_Input!I319="","Auto",Expense_Input!I319)</f>
        <v>Auto</v>
      </c>
      <c r="I319" t="str">
        <f>IF(F319="","",IFERROR(VLOOKUP(F319,Sales_Tax_Settings!$A$15:$B$27,2,FALSE),"Tax Unknown"))</f>
        <v/>
      </c>
      <c r="J319" t="str">
        <f t="shared" si="29"/>
        <v/>
      </c>
      <c r="K319" t="str">
        <f>IF(AND(Sales_Tax_Settings!$B$5="Yes",G319="Personal Expense",J319="Taxable"),"Yes","No")</f>
        <v>No</v>
      </c>
      <c r="L319" s="4">
        <f t="shared" si="30"/>
        <v>0</v>
      </c>
      <c r="M319" s="4">
        <f t="shared" si="31"/>
        <v>0</v>
      </c>
      <c r="N319" s="4">
        <f t="shared" si="32"/>
        <v>0</v>
      </c>
      <c r="O319" s="4">
        <f t="shared" si="33"/>
        <v>0</v>
      </c>
      <c r="P319" s="4">
        <f>IF(K319&lt;&gt;"Yes",0,IF(Sales_Tax_Settings!$B$6="Yes",E319/(1+Sales_Tax_Settings!$B$10),E319))</f>
        <v>0</v>
      </c>
      <c r="Q319" s="4">
        <f>IF(K319&lt;&gt;"Yes",0,P319*Sales_Tax_Settings!$B$8)</f>
        <v>0</v>
      </c>
      <c r="R319" s="4">
        <f>IF(K319&lt;&gt;"Yes",0,P319*Sales_Tax_Settings!$B$9)</f>
        <v>0</v>
      </c>
      <c r="S319" s="4">
        <f t="shared" si="34"/>
        <v>0</v>
      </c>
    </row>
    <row r="320" spans="1:19" x14ac:dyDescent="0.3">
      <c r="A320" t="str">
        <f>IF(Expense_Input!A320="","",Expense_Input!A320)</f>
        <v/>
      </c>
      <c r="B320" t="str">
        <f>IF(Expense_Input!B320="","",Expense_Input!B320)</f>
        <v/>
      </c>
      <c r="C320" t="str">
        <f t="shared" si="28"/>
        <v/>
      </c>
      <c r="D320" t="str">
        <f>IF(Expense_Input!C320="","",Expense_Input!C320)</f>
        <v/>
      </c>
      <c r="E320" s="4" t="str">
        <f>IF(Expense_Input!D320="","",Expense_Input!D320)</f>
        <v/>
      </c>
      <c r="F320" t="str">
        <f>IF(Expense_Input!E320="","",Expense_Input!E320)</f>
        <v/>
      </c>
      <c r="G320" t="str">
        <f>IF(Expense_Input!H320="","",Expense_Input!H320)</f>
        <v/>
      </c>
      <c r="H320" t="str">
        <f>IF(Expense_Input!I320="","Auto",Expense_Input!I320)</f>
        <v>Auto</v>
      </c>
      <c r="I320" t="str">
        <f>IF(F320="","",IFERROR(VLOOKUP(F320,Sales_Tax_Settings!$A$15:$B$27,2,FALSE),"Tax Unknown"))</f>
        <v/>
      </c>
      <c r="J320" t="str">
        <f t="shared" si="29"/>
        <v/>
      </c>
      <c r="K320" t="str">
        <f>IF(AND(Sales_Tax_Settings!$B$5="Yes",G320="Personal Expense",J320="Taxable"),"Yes","No")</f>
        <v>No</v>
      </c>
      <c r="L320" s="4">
        <f t="shared" si="30"/>
        <v>0</v>
      </c>
      <c r="M320" s="4">
        <f t="shared" si="31"/>
        <v>0</v>
      </c>
      <c r="N320" s="4">
        <f t="shared" si="32"/>
        <v>0</v>
      </c>
      <c r="O320" s="4">
        <f t="shared" si="33"/>
        <v>0</v>
      </c>
      <c r="P320" s="4">
        <f>IF(K320&lt;&gt;"Yes",0,IF(Sales_Tax_Settings!$B$6="Yes",E320/(1+Sales_Tax_Settings!$B$10),E320))</f>
        <v>0</v>
      </c>
      <c r="Q320" s="4">
        <f>IF(K320&lt;&gt;"Yes",0,P320*Sales_Tax_Settings!$B$8)</f>
        <v>0</v>
      </c>
      <c r="R320" s="4">
        <f>IF(K320&lt;&gt;"Yes",0,P320*Sales_Tax_Settings!$B$9)</f>
        <v>0</v>
      </c>
      <c r="S320" s="4">
        <f t="shared" si="34"/>
        <v>0</v>
      </c>
    </row>
    <row r="321" spans="1:19" x14ac:dyDescent="0.3">
      <c r="A321" t="str">
        <f>IF(Expense_Input!A321="","",Expense_Input!A321)</f>
        <v/>
      </c>
      <c r="B321" t="str">
        <f>IF(Expense_Input!B321="","",Expense_Input!B321)</f>
        <v/>
      </c>
      <c r="C321" t="str">
        <f t="shared" si="28"/>
        <v/>
      </c>
      <c r="D321" t="str">
        <f>IF(Expense_Input!C321="","",Expense_Input!C321)</f>
        <v/>
      </c>
      <c r="E321" s="4" t="str">
        <f>IF(Expense_Input!D321="","",Expense_Input!D321)</f>
        <v/>
      </c>
      <c r="F321" t="str">
        <f>IF(Expense_Input!E321="","",Expense_Input!E321)</f>
        <v/>
      </c>
      <c r="G321" t="str">
        <f>IF(Expense_Input!H321="","",Expense_Input!H321)</f>
        <v/>
      </c>
      <c r="H321" t="str">
        <f>IF(Expense_Input!I321="","Auto",Expense_Input!I321)</f>
        <v>Auto</v>
      </c>
      <c r="I321" t="str">
        <f>IF(F321="","",IFERROR(VLOOKUP(F321,Sales_Tax_Settings!$A$15:$B$27,2,FALSE),"Tax Unknown"))</f>
        <v/>
      </c>
      <c r="J321" t="str">
        <f t="shared" si="29"/>
        <v/>
      </c>
      <c r="K321" t="str">
        <f>IF(AND(Sales_Tax_Settings!$B$5="Yes",G321="Personal Expense",J321="Taxable"),"Yes","No")</f>
        <v>No</v>
      </c>
      <c r="L321" s="4">
        <f t="shared" si="30"/>
        <v>0</v>
      </c>
      <c r="M321" s="4">
        <f t="shared" si="31"/>
        <v>0</v>
      </c>
      <c r="N321" s="4">
        <f t="shared" si="32"/>
        <v>0</v>
      </c>
      <c r="O321" s="4">
        <f t="shared" si="33"/>
        <v>0</v>
      </c>
      <c r="P321" s="4">
        <f>IF(K321&lt;&gt;"Yes",0,IF(Sales_Tax_Settings!$B$6="Yes",E321/(1+Sales_Tax_Settings!$B$10),E321))</f>
        <v>0</v>
      </c>
      <c r="Q321" s="4">
        <f>IF(K321&lt;&gt;"Yes",0,P321*Sales_Tax_Settings!$B$8)</f>
        <v>0</v>
      </c>
      <c r="R321" s="4">
        <f>IF(K321&lt;&gt;"Yes",0,P321*Sales_Tax_Settings!$B$9)</f>
        <v>0</v>
      </c>
      <c r="S321" s="4">
        <f t="shared" si="34"/>
        <v>0</v>
      </c>
    </row>
    <row r="322" spans="1:19" x14ac:dyDescent="0.3">
      <c r="A322" t="str">
        <f>IF(Expense_Input!A322="","",Expense_Input!A322)</f>
        <v/>
      </c>
      <c r="B322" t="str">
        <f>IF(Expense_Input!B322="","",Expense_Input!B322)</f>
        <v/>
      </c>
      <c r="C322" t="str">
        <f t="shared" si="28"/>
        <v/>
      </c>
      <c r="D322" t="str">
        <f>IF(Expense_Input!C322="","",Expense_Input!C322)</f>
        <v/>
      </c>
      <c r="E322" s="4" t="str">
        <f>IF(Expense_Input!D322="","",Expense_Input!D322)</f>
        <v/>
      </c>
      <c r="F322" t="str">
        <f>IF(Expense_Input!E322="","",Expense_Input!E322)</f>
        <v/>
      </c>
      <c r="G322" t="str">
        <f>IF(Expense_Input!H322="","",Expense_Input!H322)</f>
        <v/>
      </c>
      <c r="H322" t="str">
        <f>IF(Expense_Input!I322="","Auto",Expense_Input!I322)</f>
        <v>Auto</v>
      </c>
      <c r="I322" t="str">
        <f>IF(F322="","",IFERROR(VLOOKUP(F322,Sales_Tax_Settings!$A$15:$B$27,2,FALSE),"Tax Unknown"))</f>
        <v/>
      </c>
      <c r="J322" t="str">
        <f t="shared" si="29"/>
        <v/>
      </c>
      <c r="K322" t="str">
        <f>IF(AND(Sales_Tax_Settings!$B$5="Yes",G322="Personal Expense",J322="Taxable"),"Yes","No")</f>
        <v>No</v>
      </c>
      <c r="L322" s="4">
        <f t="shared" si="30"/>
        <v>0</v>
      </c>
      <c r="M322" s="4">
        <f t="shared" si="31"/>
        <v>0</v>
      </c>
      <c r="N322" s="4">
        <f t="shared" si="32"/>
        <v>0</v>
      </c>
      <c r="O322" s="4">
        <f t="shared" si="33"/>
        <v>0</v>
      </c>
      <c r="P322" s="4">
        <f>IF(K322&lt;&gt;"Yes",0,IF(Sales_Tax_Settings!$B$6="Yes",E322/(1+Sales_Tax_Settings!$B$10),E322))</f>
        <v>0</v>
      </c>
      <c r="Q322" s="4">
        <f>IF(K322&lt;&gt;"Yes",0,P322*Sales_Tax_Settings!$B$8)</f>
        <v>0</v>
      </c>
      <c r="R322" s="4">
        <f>IF(K322&lt;&gt;"Yes",0,P322*Sales_Tax_Settings!$B$9)</f>
        <v>0</v>
      </c>
      <c r="S322" s="4">
        <f t="shared" si="34"/>
        <v>0</v>
      </c>
    </row>
    <row r="323" spans="1:19" x14ac:dyDescent="0.3">
      <c r="A323" t="str">
        <f>IF(Expense_Input!A323="","",Expense_Input!A323)</f>
        <v/>
      </c>
      <c r="B323" t="str">
        <f>IF(Expense_Input!B323="","",Expense_Input!B323)</f>
        <v/>
      </c>
      <c r="C323" t="str">
        <f t="shared" si="28"/>
        <v/>
      </c>
      <c r="D323" t="str">
        <f>IF(Expense_Input!C323="","",Expense_Input!C323)</f>
        <v/>
      </c>
      <c r="E323" s="4" t="str">
        <f>IF(Expense_Input!D323="","",Expense_Input!D323)</f>
        <v/>
      </c>
      <c r="F323" t="str">
        <f>IF(Expense_Input!E323="","",Expense_Input!E323)</f>
        <v/>
      </c>
      <c r="G323" t="str">
        <f>IF(Expense_Input!H323="","",Expense_Input!H323)</f>
        <v/>
      </c>
      <c r="H323" t="str">
        <f>IF(Expense_Input!I323="","Auto",Expense_Input!I323)</f>
        <v>Auto</v>
      </c>
      <c r="I323" t="str">
        <f>IF(F323="","",IFERROR(VLOOKUP(F323,Sales_Tax_Settings!$A$15:$B$27,2,FALSE),"Tax Unknown"))</f>
        <v/>
      </c>
      <c r="J323" t="str">
        <f t="shared" si="29"/>
        <v/>
      </c>
      <c r="K323" t="str">
        <f>IF(AND(Sales_Tax_Settings!$B$5="Yes",G323="Personal Expense",J323="Taxable"),"Yes","No")</f>
        <v>No</v>
      </c>
      <c r="L323" s="4">
        <f t="shared" si="30"/>
        <v>0</v>
      </c>
      <c r="M323" s="4">
        <f t="shared" si="31"/>
        <v>0</v>
      </c>
      <c r="N323" s="4">
        <f t="shared" si="32"/>
        <v>0</v>
      </c>
      <c r="O323" s="4">
        <f t="shared" si="33"/>
        <v>0</v>
      </c>
      <c r="P323" s="4">
        <f>IF(K323&lt;&gt;"Yes",0,IF(Sales_Tax_Settings!$B$6="Yes",E323/(1+Sales_Tax_Settings!$B$10),E323))</f>
        <v>0</v>
      </c>
      <c r="Q323" s="4">
        <f>IF(K323&lt;&gt;"Yes",0,P323*Sales_Tax_Settings!$B$8)</f>
        <v>0</v>
      </c>
      <c r="R323" s="4">
        <f>IF(K323&lt;&gt;"Yes",0,P323*Sales_Tax_Settings!$B$9)</f>
        <v>0</v>
      </c>
      <c r="S323" s="4">
        <f t="shared" si="34"/>
        <v>0</v>
      </c>
    </row>
    <row r="324" spans="1:19" x14ac:dyDescent="0.3">
      <c r="A324" t="str">
        <f>IF(Expense_Input!A324="","",Expense_Input!A324)</f>
        <v/>
      </c>
      <c r="B324" t="str">
        <f>IF(Expense_Input!B324="","",Expense_Input!B324)</f>
        <v/>
      </c>
      <c r="C324" t="str">
        <f t="shared" ref="C324:C387" si="35">IF(B324="","",TEXT(B324,"yyyy-mm"))</f>
        <v/>
      </c>
      <c r="D324" t="str">
        <f>IF(Expense_Input!C324="","",Expense_Input!C324)</f>
        <v/>
      </c>
      <c r="E324" s="4" t="str">
        <f>IF(Expense_Input!D324="","",Expense_Input!D324)</f>
        <v/>
      </c>
      <c r="F324" t="str">
        <f>IF(Expense_Input!E324="","",Expense_Input!E324)</f>
        <v/>
      </c>
      <c r="G324" t="str">
        <f>IF(Expense_Input!H324="","",Expense_Input!H324)</f>
        <v/>
      </c>
      <c r="H324" t="str">
        <f>IF(Expense_Input!I324="","Auto",Expense_Input!I324)</f>
        <v>Auto</v>
      </c>
      <c r="I324" t="str">
        <f>IF(F324="","",IFERROR(VLOOKUP(F324,Sales_Tax_Settings!$A$15:$B$27,2,FALSE),"Tax Unknown"))</f>
        <v/>
      </c>
      <c r="J324" t="str">
        <f t="shared" ref="J324:J387" si="36">IF(D324="","",IF(H324="Auto",I324,H324))</f>
        <v/>
      </c>
      <c r="K324" t="str">
        <f>IF(AND(Sales_Tax_Settings!$B$5="Yes",G324="Personal Expense",J324="Taxable"),"Yes","No")</f>
        <v>No</v>
      </c>
      <c r="L324" s="4">
        <f t="shared" ref="L324:L387" si="37">IF(K324="Yes",E324,0)</f>
        <v>0</v>
      </c>
      <c r="M324" s="4">
        <f t="shared" ref="M324:M387" si="38">IF(AND(G324="Personal Expense",J324="Zero-rated"),E324,0)</f>
        <v>0</v>
      </c>
      <c r="N324" s="4">
        <f t="shared" ref="N324:N387" si="39">IF(AND(G324="Personal Expense",J324="Exempt"),E324,0)</f>
        <v>0</v>
      </c>
      <c r="O324" s="4">
        <f t="shared" ref="O324:O387" si="40">IF(AND(G324="Personal Expense",OR(J324="Tax Unknown",J324="Not Applicable")),E324,0)</f>
        <v>0</v>
      </c>
      <c r="P324" s="4">
        <f>IF(K324&lt;&gt;"Yes",0,IF(Sales_Tax_Settings!$B$6="Yes",E324/(1+Sales_Tax_Settings!$B$10),E324))</f>
        <v>0</v>
      </c>
      <c r="Q324" s="4">
        <f>IF(K324&lt;&gt;"Yes",0,P324*Sales_Tax_Settings!$B$8)</f>
        <v>0</v>
      </c>
      <c r="R324" s="4">
        <f>IF(K324&lt;&gt;"Yes",0,P324*Sales_Tax_Settings!$B$9)</f>
        <v>0</v>
      </c>
      <c r="S324" s="4">
        <f t="shared" ref="S324:S387" si="41">Q324+R324</f>
        <v>0</v>
      </c>
    </row>
    <row r="325" spans="1:19" x14ac:dyDescent="0.3">
      <c r="A325" t="str">
        <f>IF(Expense_Input!A325="","",Expense_Input!A325)</f>
        <v/>
      </c>
      <c r="B325" t="str">
        <f>IF(Expense_Input!B325="","",Expense_Input!B325)</f>
        <v/>
      </c>
      <c r="C325" t="str">
        <f t="shared" si="35"/>
        <v/>
      </c>
      <c r="D325" t="str">
        <f>IF(Expense_Input!C325="","",Expense_Input!C325)</f>
        <v/>
      </c>
      <c r="E325" s="4" t="str">
        <f>IF(Expense_Input!D325="","",Expense_Input!D325)</f>
        <v/>
      </c>
      <c r="F325" t="str">
        <f>IF(Expense_Input!E325="","",Expense_Input!E325)</f>
        <v/>
      </c>
      <c r="G325" t="str">
        <f>IF(Expense_Input!H325="","",Expense_Input!H325)</f>
        <v/>
      </c>
      <c r="H325" t="str">
        <f>IF(Expense_Input!I325="","Auto",Expense_Input!I325)</f>
        <v>Auto</v>
      </c>
      <c r="I325" t="str">
        <f>IF(F325="","",IFERROR(VLOOKUP(F325,Sales_Tax_Settings!$A$15:$B$27,2,FALSE),"Tax Unknown"))</f>
        <v/>
      </c>
      <c r="J325" t="str">
        <f t="shared" si="36"/>
        <v/>
      </c>
      <c r="K325" t="str">
        <f>IF(AND(Sales_Tax_Settings!$B$5="Yes",G325="Personal Expense",J325="Taxable"),"Yes","No")</f>
        <v>No</v>
      </c>
      <c r="L325" s="4">
        <f t="shared" si="37"/>
        <v>0</v>
      </c>
      <c r="M325" s="4">
        <f t="shared" si="38"/>
        <v>0</v>
      </c>
      <c r="N325" s="4">
        <f t="shared" si="39"/>
        <v>0</v>
      </c>
      <c r="O325" s="4">
        <f t="shared" si="40"/>
        <v>0</v>
      </c>
      <c r="P325" s="4">
        <f>IF(K325&lt;&gt;"Yes",0,IF(Sales_Tax_Settings!$B$6="Yes",E325/(1+Sales_Tax_Settings!$B$10),E325))</f>
        <v>0</v>
      </c>
      <c r="Q325" s="4">
        <f>IF(K325&lt;&gt;"Yes",0,P325*Sales_Tax_Settings!$B$8)</f>
        <v>0</v>
      </c>
      <c r="R325" s="4">
        <f>IF(K325&lt;&gt;"Yes",0,P325*Sales_Tax_Settings!$B$9)</f>
        <v>0</v>
      </c>
      <c r="S325" s="4">
        <f t="shared" si="41"/>
        <v>0</v>
      </c>
    </row>
    <row r="326" spans="1:19" x14ac:dyDescent="0.3">
      <c r="A326" t="str">
        <f>IF(Expense_Input!A326="","",Expense_Input!A326)</f>
        <v/>
      </c>
      <c r="B326" t="str">
        <f>IF(Expense_Input!B326="","",Expense_Input!B326)</f>
        <v/>
      </c>
      <c r="C326" t="str">
        <f t="shared" si="35"/>
        <v/>
      </c>
      <c r="D326" t="str">
        <f>IF(Expense_Input!C326="","",Expense_Input!C326)</f>
        <v/>
      </c>
      <c r="E326" s="4" t="str">
        <f>IF(Expense_Input!D326="","",Expense_Input!D326)</f>
        <v/>
      </c>
      <c r="F326" t="str">
        <f>IF(Expense_Input!E326="","",Expense_Input!E326)</f>
        <v/>
      </c>
      <c r="G326" t="str">
        <f>IF(Expense_Input!H326="","",Expense_Input!H326)</f>
        <v/>
      </c>
      <c r="H326" t="str">
        <f>IF(Expense_Input!I326="","Auto",Expense_Input!I326)</f>
        <v>Auto</v>
      </c>
      <c r="I326" t="str">
        <f>IF(F326="","",IFERROR(VLOOKUP(F326,Sales_Tax_Settings!$A$15:$B$27,2,FALSE),"Tax Unknown"))</f>
        <v/>
      </c>
      <c r="J326" t="str">
        <f t="shared" si="36"/>
        <v/>
      </c>
      <c r="K326" t="str">
        <f>IF(AND(Sales_Tax_Settings!$B$5="Yes",G326="Personal Expense",J326="Taxable"),"Yes","No")</f>
        <v>No</v>
      </c>
      <c r="L326" s="4">
        <f t="shared" si="37"/>
        <v>0</v>
      </c>
      <c r="M326" s="4">
        <f t="shared" si="38"/>
        <v>0</v>
      </c>
      <c r="N326" s="4">
        <f t="shared" si="39"/>
        <v>0</v>
      </c>
      <c r="O326" s="4">
        <f t="shared" si="40"/>
        <v>0</v>
      </c>
      <c r="P326" s="4">
        <f>IF(K326&lt;&gt;"Yes",0,IF(Sales_Tax_Settings!$B$6="Yes",E326/(1+Sales_Tax_Settings!$B$10),E326))</f>
        <v>0</v>
      </c>
      <c r="Q326" s="4">
        <f>IF(K326&lt;&gt;"Yes",0,P326*Sales_Tax_Settings!$B$8)</f>
        <v>0</v>
      </c>
      <c r="R326" s="4">
        <f>IF(K326&lt;&gt;"Yes",0,P326*Sales_Tax_Settings!$B$9)</f>
        <v>0</v>
      </c>
      <c r="S326" s="4">
        <f t="shared" si="41"/>
        <v>0</v>
      </c>
    </row>
    <row r="327" spans="1:19" x14ac:dyDescent="0.3">
      <c r="A327" t="str">
        <f>IF(Expense_Input!A327="","",Expense_Input!A327)</f>
        <v/>
      </c>
      <c r="B327" t="str">
        <f>IF(Expense_Input!B327="","",Expense_Input!B327)</f>
        <v/>
      </c>
      <c r="C327" t="str">
        <f t="shared" si="35"/>
        <v/>
      </c>
      <c r="D327" t="str">
        <f>IF(Expense_Input!C327="","",Expense_Input!C327)</f>
        <v/>
      </c>
      <c r="E327" s="4" t="str">
        <f>IF(Expense_Input!D327="","",Expense_Input!D327)</f>
        <v/>
      </c>
      <c r="F327" t="str">
        <f>IF(Expense_Input!E327="","",Expense_Input!E327)</f>
        <v/>
      </c>
      <c r="G327" t="str">
        <f>IF(Expense_Input!H327="","",Expense_Input!H327)</f>
        <v/>
      </c>
      <c r="H327" t="str">
        <f>IF(Expense_Input!I327="","Auto",Expense_Input!I327)</f>
        <v>Auto</v>
      </c>
      <c r="I327" t="str">
        <f>IF(F327="","",IFERROR(VLOOKUP(F327,Sales_Tax_Settings!$A$15:$B$27,2,FALSE),"Tax Unknown"))</f>
        <v/>
      </c>
      <c r="J327" t="str">
        <f t="shared" si="36"/>
        <v/>
      </c>
      <c r="K327" t="str">
        <f>IF(AND(Sales_Tax_Settings!$B$5="Yes",G327="Personal Expense",J327="Taxable"),"Yes","No")</f>
        <v>No</v>
      </c>
      <c r="L327" s="4">
        <f t="shared" si="37"/>
        <v>0</v>
      </c>
      <c r="M327" s="4">
        <f t="shared" si="38"/>
        <v>0</v>
      </c>
      <c r="N327" s="4">
        <f t="shared" si="39"/>
        <v>0</v>
      </c>
      <c r="O327" s="4">
        <f t="shared" si="40"/>
        <v>0</v>
      </c>
      <c r="P327" s="4">
        <f>IF(K327&lt;&gt;"Yes",0,IF(Sales_Tax_Settings!$B$6="Yes",E327/(1+Sales_Tax_Settings!$B$10),E327))</f>
        <v>0</v>
      </c>
      <c r="Q327" s="4">
        <f>IF(K327&lt;&gt;"Yes",0,P327*Sales_Tax_Settings!$B$8)</f>
        <v>0</v>
      </c>
      <c r="R327" s="4">
        <f>IF(K327&lt;&gt;"Yes",0,P327*Sales_Tax_Settings!$B$9)</f>
        <v>0</v>
      </c>
      <c r="S327" s="4">
        <f t="shared" si="41"/>
        <v>0</v>
      </c>
    </row>
    <row r="328" spans="1:19" x14ac:dyDescent="0.3">
      <c r="A328" t="str">
        <f>IF(Expense_Input!A328="","",Expense_Input!A328)</f>
        <v/>
      </c>
      <c r="B328" t="str">
        <f>IF(Expense_Input!B328="","",Expense_Input!B328)</f>
        <v/>
      </c>
      <c r="C328" t="str">
        <f t="shared" si="35"/>
        <v/>
      </c>
      <c r="D328" t="str">
        <f>IF(Expense_Input!C328="","",Expense_Input!C328)</f>
        <v/>
      </c>
      <c r="E328" s="4" t="str">
        <f>IF(Expense_Input!D328="","",Expense_Input!D328)</f>
        <v/>
      </c>
      <c r="F328" t="str">
        <f>IF(Expense_Input!E328="","",Expense_Input!E328)</f>
        <v/>
      </c>
      <c r="G328" t="str">
        <f>IF(Expense_Input!H328="","",Expense_Input!H328)</f>
        <v/>
      </c>
      <c r="H328" t="str">
        <f>IF(Expense_Input!I328="","Auto",Expense_Input!I328)</f>
        <v>Auto</v>
      </c>
      <c r="I328" t="str">
        <f>IF(F328="","",IFERROR(VLOOKUP(F328,Sales_Tax_Settings!$A$15:$B$27,2,FALSE),"Tax Unknown"))</f>
        <v/>
      </c>
      <c r="J328" t="str">
        <f t="shared" si="36"/>
        <v/>
      </c>
      <c r="K328" t="str">
        <f>IF(AND(Sales_Tax_Settings!$B$5="Yes",G328="Personal Expense",J328="Taxable"),"Yes","No")</f>
        <v>No</v>
      </c>
      <c r="L328" s="4">
        <f t="shared" si="37"/>
        <v>0</v>
      </c>
      <c r="M328" s="4">
        <f t="shared" si="38"/>
        <v>0</v>
      </c>
      <c r="N328" s="4">
        <f t="shared" si="39"/>
        <v>0</v>
      </c>
      <c r="O328" s="4">
        <f t="shared" si="40"/>
        <v>0</v>
      </c>
      <c r="P328" s="4">
        <f>IF(K328&lt;&gt;"Yes",0,IF(Sales_Tax_Settings!$B$6="Yes",E328/(1+Sales_Tax_Settings!$B$10),E328))</f>
        <v>0</v>
      </c>
      <c r="Q328" s="4">
        <f>IF(K328&lt;&gt;"Yes",0,P328*Sales_Tax_Settings!$B$8)</f>
        <v>0</v>
      </c>
      <c r="R328" s="4">
        <f>IF(K328&lt;&gt;"Yes",0,P328*Sales_Tax_Settings!$B$9)</f>
        <v>0</v>
      </c>
      <c r="S328" s="4">
        <f t="shared" si="41"/>
        <v>0</v>
      </c>
    </row>
    <row r="329" spans="1:19" x14ac:dyDescent="0.3">
      <c r="A329" t="str">
        <f>IF(Expense_Input!A329="","",Expense_Input!A329)</f>
        <v/>
      </c>
      <c r="B329" t="str">
        <f>IF(Expense_Input!B329="","",Expense_Input!B329)</f>
        <v/>
      </c>
      <c r="C329" t="str">
        <f t="shared" si="35"/>
        <v/>
      </c>
      <c r="D329" t="str">
        <f>IF(Expense_Input!C329="","",Expense_Input!C329)</f>
        <v/>
      </c>
      <c r="E329" s="4" t="str">
        <f>IF(Expense_Input!D329="","",Expense_Input!D329)</f>
        <v/>
      </c>
      <c r="F329" t="str">
        <f>IF(Expense_Input!E329="","",Expense_Input!E329)</f>
        <v/>
      </c>
      <c r="G329" t="str">
        <f>IF(Expense_Input!H329="","",Expense_Input!H329)</f>
        <v/>
      </c>
      <c r="H329" t="str">
        <f>IF(Expense_Input!I329="","Auto",Expense_Input!I329)</f>
        <v>Auto</v>
      </c>
      <c r="I329" t="str">
        <f>IF(F329="","",IFERROR(VLOOKUP(F329,Sales_Tax_Settings!$A$15:$B$27,2,FALSE),"Tax Unknown"))</f>
        <v/>
      </c>
      <c r="J329" t="str">
        <f t="shared" si="36"/>
        <v/>
      </c>
      <c r="K329" t="str">
        <f>IF(AND(Sales_Tax_Settings!$B$5="Yes",G329="Personal Expense",J329="Taxable"),"Yes","No")</f>
        <v>No</v>
      </c>
      <c r="L329" s="4">
        <f t="shared" si="37"/>
        <v>0</v>
      </c>
      <c r="M329" s="4">
        <f t="shared" si="38"/>
        <v>0</v>
      </c>
      <c r="N329" s="4">
        <f t="shared" si="39"/>
        <v>0</v>
      </c>
      <c r="O329" s="4">
        <f t="shared" si="40"/>
        <v>0</v>
      </c>
      <c r="P329" s="4">
        <f>IF(K329&lt;&gt;"Yes",0,IF(Sales_Tax_Settings!$B$6="Yes",E329/(1+Sales_Tax_Settings!$B$10),E329))</f>
        <v>0</v>
      </c>
      <c r="Q329" s="4">
        <f>IF(K329&lt;&gt;"Yes",0,P329*Sales_Tax_Settings!$B$8)</f>
        <v>0</v>
      </c>
      <c r="R329" s="4">
        <f>IF(K329&lt;&gt;"Yes",0,P329*Sales_Tax_Settings!$B$9)</f>
        <v>0</v>
      </c>
      <c r="S329" s="4">
        <f t="shared" si="41"/>
        <v>0</v>
      </c>
    </row>
    <row r="330" spans="1:19" x14ac:dyDescent="0.3">
      <c r="A330" t="str">
        <f>IF(Expense_Input!A330="","",Expense_Input!A330)</f>
        <v/>
      </c>
      <c r="B330" t="str">
        <f>IF(Expense_Input!B330="","",Expense_Input!B330)</f>
        <v/>
      </c>
      <c r="C330" t="str">
        <f t="shared" si="35"/>
        <v/>
      </c>
      <c r="D330" t="str">
        <f>IF(Expense_Input!C330="","",Expense_Input!C330)</f>
        <v/>
      </c>
      <c r="E330" s="4" t="str">
        <f>IF(Expense_Input!D330="","",Expense_Input!D330)</f>
        <v/>
      </c>
      <c r="F330" t="str">
        <f>IF(Expense_Input!E330="","",Expense_Input!E330)</f>
        <v/>
      </c>
      <c r="G330" t="str">
        <f>IF(Expense_Input!H330="","",Expense_Input!H330)</f>
        <v/>
      </c>
      <c r="H330" t="str">
        <f>IF(Expense_Input!I330="","Auto",Expense_Input!I330)</f>
        <v>Auto</v>
      </c>
      <c r="I330" t="str">
        <f>IF(F330="","",IFERROR(VLOOKUP(F330,Sales_Tax_Settings!$A$15:$B$27,2,FALSE),"Tax Unknown"))</f>
        <v/>
      </c>
      <c r="J330" t="str">
        <f t="shared" si="36"/>
        <v/>
      </c>
      <c r="K330" t="str">
        <f>IF(AND(Sales_Tax_Settings!$B$5="Yes",G330="Personal Expense",J330="Taxable"),"Yes","No")</f>
        <v>No</v>
      </c>
      <c r="L330" s="4">
        <f t="shared" si="37"/>
        <v>0</v>
      </c>
      <c r="M330" s="4">
        <f t="shared" si="38"/>
        <v>0</v>
      </c>
      <c r="N330" s="4">
        <f t="shared" si="39"/>
        <v>0</v>
      </c>
      <c r="O330" s="4">
        <f t="shared" si="40"/>
        <v>0</v>
      </c>
      <c r="P330" s="4">
        <f>IF(K330&lt;&gt;"Yes",0,IF(Sales_Tax_Settings!$B$6="Yes",E330/(1+Sales_Tax_Settings!$B$10),E330))</f>
        <v>0</v>
      </c>
      <c r="Q330" s="4">
        <f>IF(K330&lt;&gt;"Yes",0,P330*Sales_Tax_Settings!$B$8)</f>
        <v>0</v>
      </c>
      <c r="R330" s="4">
        <f>IF(K330&lt;&gt;"Yes",0,P330*Sales_Tax_Settings!$B$9)</f>
        <v>0</v>
      </c>
      <c r="S330" s="4">
        <f t="shared" si="41"/>
        <v>0</v>
      </c>
    </row>
    <row r="331" spans="1:19" x14ac:dyDescent="0.3">
      <c r="A331" t="str">
        <f>IF(Expense_Input!A331="","",Expense_Input!A331)</f>
        <v/>
      </c>
      <c r="B331" t="str">
        <f>IF(Expense_Input!B331="","",Expense_Input!B331)</f>
        <v/>
      </c>
      <c r="C331" t="str">
        <f t="shared" si="35"/>
        <v/>
      </c>
      <c r="D331" t="str">
        <f>IF(Expense_Input!C331="","",Expense_Input!C331)</f>
        <v/>
      </c>
      <c r="E331" s="4" t="str">
        <f>IF(Expense_Input!D331="","",Expense_Input!D331)</f>
        <v/>
      </c>
      <c r="F331" t="str">
        <f>IF(Expense_Input!E331="","",Expense_Input!E331)</f>
        <v/>
      </c>
      <c r="G331" t="str">
        <f>IF(Expense_Input!H331="","",Expense_Input!H331)</f>
        <v/>
      </c>
      <c r="H331" t="str">
        <f>IF(Expense_Input!I331="","Auto",Expense_Input!I331)</f>
        <v>Auto</v>
      </c>
      <c r="I331" t="str">
        <f>IF(F331="","",IFERROR(VLOOKUP(F331,Sales_Tax_Settings!$A$15:$B$27,2,FALSE),"Tax Unknown"))</f>
        <v/>
      </c>
      <c r="J331" t="str">
        <f t="shared" si="36"/>
        <v/>
      </c>
      <c r="K331" t="str">
        <f>IF(AND(Sales_Tax_Settings!$B$5="Yes",G331="Personal Expense",J331="Taxable"),"Yes","No")</f>
        <v>No</v>
      </c>
      <c r="L331" s="4">
        <f t="shared" si="37"/>
        <v>0</v>
      </c>
      <c r="M331" s="4">
        <f t="shared" si="38"/>
        <v>0</v>
      </c>
      <c r="N331" s="4">
        <f t="shared" si="39"/>
        <v>0</v>
      </c>
      <c r="O331" s="4">
        <f t="shared" si="40"/>
        <v>0</v>
      </c>
      <c r="P331" s="4">
        <f>IF(K331&lt;&gt;"Yes",0,IF(Sales_Tax_Settings!$B$6="Yes",E331/(1+Sales_Tax_Settings!$B$10),E331))</f>
        <v>0</v>
      </c>
      <c r="Q331" s="4">
        <f>IF(K331&lt;&gt;"Yes",0,P331*Sales_Tax_Settings!$B$8)</f>
        <v>0</v>
      </c>
      <c r="R331" s="4">
        <f>IF(K331&lt;&gt;"Yes",0,P331*Sales_Tax_Settings!$B$9)</f>
        <v>0</v>
      </c>
      <c r="S331" s="4">
        <f t="shared" si="41"/>
        <v>0</v>
      </c>
    </row>
    <row r="332" spans="1:19" x14ac:dyDescent="0.3">
      <c r="A332" t="str">
        <f>IF(Expense_Input!A332="","",Expense_Input!A332)</f>
        <v/>
      </c>
      <c r="B332" t="str">
        <f>IF(Expense_Input!B332="","",Expense_Input!B332)</f>
        <v/>
      </c>
      <c r="C332" t="str">
        <f t="shared" si="35"/>
        <v/>
      </c>
      <c r="D332" t="str">
        <f>IF(Expense_Input!C332="","",Expense_Input!C332)</f>
        <v/>
      </c>
      <c r="E332" s="4" t="str">
        <f>IF(Expense_Input!D332="","",Expense_Input!D332)</f>
        <v/>
      </c>
      <c r="F332" t="str">
        <f>IF(Expense_Input!E332="","",Expense_Input!E332)</f>
        <v/>
      </c>
      <c r="G332" t="str">
        <f>IF(Expense_Input!H332="","",Expense_Input!H332)</f>
        <v/>
      </c>
      <c r="H332" t="str">
        <f>IF(Expense_Input!I332="","Auto",Expense_Input!I332)</f>
        <v>Auto</v>
      </c>
      <c r="I332" t="str">
        <f>IF(F332="","",IFERROR(VLOOKUP(F332,Sales_Tax_Settings!$A$15:$B$27,2,FALSE),"Tax Unknown"))</f>
        <v/>
      </c>
      <c r="J332" t="str">
        <f t="shared" si="36"/>
        <v/>
      </c>
      <c r="K332" t="str">
        <f>IF(AND(Sales_Tax_Settings!$B$5="Yes",G332="Personal Expense",J332="Taxable"),"Yes","No")</f>
        <v>No</v>
      </c>
      <c r="L332" s="4">
        <f t="shared" si="37"/>
        <v>0</v>
      </c>
      <c r="M332" s="4">
        <f t="shared" si="38"/>
        <v>0</v>
      </c>
      <c r="N332" s="4">
        <f t="shared" si="39"/>
        <v>0</v>
      </c>
      <c r="O332" s="4">
        <f t="shared" si="40"/>
        <v>0</v>
      </c>
      <c r="P332" s="4">
        <f>IF(K332&lt;&gt;"Yes",0,IF(Sales_Tax_Settings!$B$6="Yes",E332/(1+Sales_Tax_Settings!$B$10),E332))</f>
        <v>0</v>
      </c>
      <c r="Q332" s="4">
        <f>IF(K332&lt;&gt;"Yes",0,P332*Sales_Tax_Settings!$B$8)</f>
        <v>0</v>
      </c>
      <c r="R332" s="4">
        <f>IF(K332&lt;&gt;"Yes",0,P332*Sales_Tax_Settings!$B$9)</f>
        <v>0</v>
      </c>
      <c r="S332" s="4">
        <f t="shared" si="41"/>
        <v>0</v>
      </c>
    </row>
    <row r="333" spans="1:19" x14ac:dyDescent="0.3">
      <c r="A333" t="str">
        <f>IF(Expense_Input!A333="","",Expense_Input!A333)</f>
        <v/>
      </c>
      <c r="B333" t="str">
        <f>IF(Expense_Input!B333="","",Expense_Input!B333)</f>
        <v/>
      </c>
      <c r="C333" t="str">
        <f t="shared" si="35"/>
        <v/>
      </c>
      <c r="D333" t="str">
        <f>IF(Expense_Input!C333="","",Expense_Input!C333)</f>
        <v/>
      </c>
      <c r="E333" s="4" t="str">
        <f>IF(Expense_Input!D333="","",Expense_Input!D333)</f>
        <v/>
      </c>
      <c r="F333" t="str">
        <f>IF(Expense_Input!E333="","",Expense_Input!E333)</f>
        <v/>
      </c>
      <c r="G333" t="str">
        <f>IF(Expense_Input!H333="","",Expense_Input!H333)</f>
        <v/>
      </c>
      <c r="H333" t="str">
        <f>IF(Expense_Input!I333="","Auto",Expense_Input!I333)</f>
        <v>Auto</v>
      </c>
      <c r="I333" t="str">
        <f>IF(F333="","",IFERROR(VLOOKUP(F333,Sales_Tax_Settings!$A$15:$B$27,2,FALSE),"Tax Unknown"))</f>
        <v/>
      </c>
      <c r="J333" t="str">
        <f t="shared" si="36"/>
        <v/>
      </c>
      <c r="K333" t="str">
        <f>IF(AND(Sales_Tax_Settings!$B$5="Yes",G333="Personal Expense",J333="Taxable"),"Yes","No")</f>
        <v>No</v>
      </c>
      <c r="L333" s="4">
        <f t="shared" si="37"/>
        <v>0</v>
      </c>
      <c r="M333" s="4">
        <f t="shared" si="38"/>
        <v>0</v>
      </c>
      <c r="N333" s="4">
        <f t="shared" si="39"/>
        <v>0</v>
      </c>
      <c r="O333" s="4">
        <f t="shared" si="40"/>
        <v>0</v>
      </c>
      <c r="P333" s="4">
        <f>IF(K333&lt;&gt;"Yes",0,IF(Sales_Tax_Settings!$B$6="Yes",E333/(1+Sales_Tax_Settings!$B$10),E333))</f>
        <v>0</v>
      </c>
      <c r="Q333" s="4">
        <f>IF(K333&lt;&gt;"Yes",0,P333*Sales_Tax_Settings!$B$8)</f>
        <v>0</v>
      </c>
      <c r="R333" s="4">
        <f>IF(K333&lt;&gt;"Yes",0,P333*Sales_Tax_Settings!$B$9)</f>
        <v>0</v>
      </c>
      <c r="S333" s="4">
        <f t="shared" si="41"/>
        <v>0</v>
      </c>
    </row>
    <row r="334" spans="1:19" x14ac:dyDescent="0.3">
      <c r="A334" t="str">
        <f>IF(Expense_Input!A334="","",Expense_Input!A334)</f>
        <v/>
      </c>
      <c r="B334" t="str">
        <f>IF(Expense_Input!B334="","",Expense_Input!B334)</f>
        <v/>
      </c>
      <c r="C334" t="str">
        <f t="shared" si="35"/>
        <v/>
      </c>
      <c r="D334" t="str">
        <f>IF(Expense_Input!C334="","",Expense_Input!C334)</f>
        <v/>
      </c>
      <c r="E334" s="4" t="str">
        <f>IF(Expense_Input!D334="","",Expense_Input!D334)</f>
        <v/>
      </c>
      <c r="F334" t="str">
        <f>IF(Expense_Input!E334="","",Expense_Input!E334)</f>
        <v/>
      </c>
      <c r="G334" t="str">
        <f>IF(Expense_Input!H334="","",Expense_Input!H334)</f>
        <v/>
      </c>
      <c r="H334" t="str">
        <f>IF(Expense_Input!I334="","Auto",Expense_Input!I334)</f>
        <v>Auto</v>
      </c>
      <c r="I334" t="str">
        <f>IF(F334="","",IFERROR(VLOOKUP(F334,Sales_Tax_Settings!$A$15:$B$27,2,FALSE),"Tax Unknown"))</f>
        <v/>
      </c>
      <c r="J334" t="str">
        <f t="shared" si="36"/>
        <v/>
      </c>
      <c r="K334" t="str">
        <f>IF(AND(Sales_Tax_Settings!$B$5="Yes",G334="Personal Expense",J334="Taxable"),"Yes","No")</f>
        <v>No</v>
      </c>
      <c r="L334" s="4">
        <f t="shared" si="37"/>
        <v>0</v>
      </c>
      <c r="M334" s="4">
        <f t="shared" si="38"/>
        <v>0</v>
      </c>
      <c r="N334" s="4">
        <f t="shared" si="39"/>
        <v>0</v>
      </c>
      <c r="O334" s="4">
        <f t="shared" si="40"/>
        <v>0</v>
      </c>
      <c r="P334" s="4">
        <f>IF(K334&lt;&gt;"Yes",0,IF(Sales_Tax_Settings!$B$6="Yes",E334/(1+Sales_Tax_Settings!$B$10),E334))</f>
        <v>0</v>
      </c>
      <c r="Q334" s="4">
        <f>IF(K334&lt;&gt;"Yes",0,P334*Sales_Tax_Settings!$B$8)</f>
        <v>0</v>
      </c>
      <c r="R334" s="4">
        <f>IF(K334&lt;&gt;"Yes",0,P334*Sales_Tax_Settings!$B$9)</f>
        <v>0</v>
      </c>
      <c r="S334" s="4">
        <f t="shared" si="41"/>
        <v>0</v>
      </c>
    </row>
    <row r="335" spans="1:19" x14ac:dyDescent="0.3">
      <c r="A335" t="str">
        <f>IF(Expense_Input!A335="","",Expense_Input!A335)</f>
        <v/>
      </c>
      <c r="B335" t="str">
        <f>IF(Expense_Input!B335="","",Expense_Input!B335)</f>
        <v/>
      </c>
      <c r="C335" t="str">
        <f t="shared" si="35"/>
        <v/>
      </c>
      <c r="D335" t="str">
        <f>IF(Expense_Input!C335="","",Expense_Input!C335)</f>
        <v/>
      </c>
      <c r="E335" s="4" t="str">
        <f>IF(Expense_Input!D335="","",Expense_Input!D335)</f>
        <v/>
      </c>
      <c r="F335" t="str">
        <f>IF(Expense_Input!E335="","",Expense_Input!E335)</f>
        <v/>
      </c>
      <c r="G335" t="str">
        <f>IF(Expense_Input!H335="","",Expense_Input!H335)</f>
        <v/>
      </c>
      <c r="H335" t="str">
        <f>IF(Expense_Input!I335="","Auto",Expense_Input!I335)</f>
        <v>Auto</v>
      </c>
      <c r="I335" t="str">
        <f>IF(F335="","",IFERROR(VLOOKUP(F335,Sales_Tax_Settings!$A$15:$B$27,2,FALSE),"Tax Unknown"))</f>
        <v/>
      </c>
      <c r="J335" t="str">
        <f t="shared" si="36"/>
        <v/>
      </c>
      <c r="K335" t="str">
        <f>IF(AND(Sales_Tax_Settings!$B$5="Yes",G335="Personal Expense",J335="Taxable"),"Yes","No")</f>
        <v>No</v>
      </c>
      <c r="L335" s="4">
        <f t="shared" si="37"/>
        <v>0</v>
      </c>
      <c r="M335" s="4">
        <f t="shared" si="38"/>
        <v>0</v>
      </c>
      <c r="N335" s="4">
        <f t="shared" si="39"/>
        <v>0</v>
      </c>
      <c r="O335" s="4">
        <f t="shared" si="40"/>
        <v>0</v>
      </c>
      <c r="P335" s="4">
        <f>IF(K335&lt;&gt;"Yes",0,IF(Sales_Tax_Settings!$B$6="Yes",E335/(1+Sales_Tax_Settings!$B$10),E335))</f>
        <v>0</v>
      </c>
      <c r="Q335" s="4">
        <f>IF(K335&lt;&gt;"Yes",0,P335*Sales_Tax_Settings!$B$8)</f>
        <v>0</v>
      </c>
      <c r="R335" s="4">
        <f>IF(K335&lt;&gt;"Yes",0,P335*Sales_Tax_Settings!$B$9)</f>
        <v>0</v>
      </c>
      <c r="S335" s="4">
        <f t="shared" si="41"/>
        <v>0</v>
      </c>
    </row>
    <row r="336" spans="1:19" x14ac:dyDescent="0.3">
      <c r="A336" t="str">
        <f>IF(Expense_Input!A336="","",Expense_Input!A336)</f>
        <v/>
      </c>
      <c r="B336" t="str">
        <f>IF(Expense_Input!B336="","",Expense_Input!B336)</f>
        <v/>
      </c>
      <c r="C336" t="str">
        <f t="shared" si="35"/>
        <v/>
      </c>
      <c r="D336" t="str">
        <f>IF(Expense_Input!C336="","",Expense_Input!C336)</f>
        <v/>
      </c>
      <c r="E336" s="4" t="str">
        <f>IF(Expense_Input!D336="","",Expense_Input!D336)</f>
        <v/>
      </c>
      <c r="F336" t="str">
        <f>IF(Expense_Input!E336="","",Expense_Input!E336)</f>
        <v/>
      </c>
      <c r="G336" t="str">
        <f>IF(Expense_Input!H336="","",Expense_Input!H336)</f>
        <v/>
      </c>
      <c r="H336" t="str">
        <f>IF(Expense_Input!I336="","Auto",Expense_Input!I336)</f>
        <v>Auto</v>
      </c>
      <c r="I336" t="str">
        <f>IF(F336="","",IFERROR(VLOOKUP(F336,Sales_Tax_Settings!$A$15:$B$27,2,FALSE),"Tax Unknown"))</f>
        <v/>
      </c>
      <c r="J336" t="str">
        <f t="shared" si="36"/>
        <v/>
      </c>
      <c r="K336" t="str">
        <f>IF(AND(Sales_Tax_Settings!$B$5="Yes",G336="Personal Expense",J336="Taxable"),"Yes","No")</f>
        <v>No</v>
      </c>
      <c r="L336" s="4">
        <f t="shared" si="37"/>
        <v>0</v>
      </c>
      <c r="M336" s="4">
        <f t="shared" si="38"/>
        <v>0</v>
      </c>
      <c r="N336" s="4">
        <f t="shared" si="39"/>
        <v>0</v>
      </c>
      <c r="O336" s="4">
        <f t="shared" si="40"/>
        <v>0</v>
      </c>
      <c r="P336" s="4">
        <f>IF(K336&lt;&gt;"Yes",0,IF(Sales_Tax_Settings!$B$6="Yes",E336/(1+Sales_Tax_Settings!$B$10),E336))</f>
        <v>0</v>
      </c>
      <c r="Q336" s="4">
        <f>IF(K336&lt;&gt;"Yes",0,P336*Sales_Tax_Settings!$B$8)</f>
        <v>0</v>
      </c>
      <c r="R336" s="4">
        <f>IF(K336&lt;&gt;"Yes",0,P336*Sales_Tax_Settings!$B$9)</f>
        <v>0</v>
      </c>
      <c r="S336" s="4">
        <f t="shared" si="41"/>
        <v>0</v>
      </c>
    </row>
    <row r="337" spans="1:19" x14ac:dyDescent="0.3">
      <c r="A337" t="str">
        <f>IF(Expense_Input!A337="","",Expense_Input!A337)</f>
        <v/>
      </c>
      <c r="B337" t="str">
        <f>IF(Expense_Input!B337="","",Expense_Input!B337)</f>
        <v/>
      </c>
      <c r="C337" t="str">
        <f t="shared" si="35"/>
        <v/>
      </c>
      <c r="D337" t="str">
        <f>IF(Expense_Input!C337="","",Expense_Input!C337)</f>
        <v/>
      </c>
      <c r="E337" s="4" t="str">
        <f>IF(Expense_Input!D337="","",Expense_Input!D337)</f>
        <v/>
      </c>
      <c r="F337" t="str">
        <f>IF(Expense_Input!E337="","",Expense_Input!E337)</f>
        <v/>
      </c>
      <c r="G337" t="str">
        <f>IF(Expense_Input!H337="","",Expense_Input!H337)</f>
        <v/>
      </c>
      <c r="H337" t="str">
        <f>IF(Expense_Input!I337="","Auto",Expense_Input!I337)</f>
        <v>Auto</v>
      </c>
      <c r="I337" t="str">
        <f>IF(F337="","",IFERROR(VLOOKUP(F337,Sales_Tax_Settings!$A$15:$B$27,2,FALSE),"Tax Unknown"))</f>
        <v/>
      </c>
      <c r="J337" t="str">
        <f t="shared" si="36"/>
        <v/>
      </c>
      <c r="K337" t="str">
        <f>IF(AND(Sales_Tax_Settings!$B$5="Yes",G337="Personal Expense",J337="Taxable"),"Yes","No")</f>
        <v>No</v>
      </c>
      <c r="L337" s="4">
        <f t="shared" si="37"/>
        <v>0</v>
      </c>
      <c r="M337" s="4">
        <f t="shared" si="38"/>
        <v>0</v>
      </c>
      <c r="N337" s="4">
        <f t="shared" si="39"/>
        <v>0</v>
      </c>
      <c r="O337" s="4">
        <f t="shared" si="40"/>
        <v>0</v>
      </c>
      <c r="P337" s="4">
        <f>IF(K337&lt;&gt;"Yes",0,IF(Sales_Tax_Settings!$B$6="Yes",E337/(1+Sales_Tax_Settings!$B$10),E337))</f>
        <v>0</v>
      </c>
      <c r="Q337" s="4">
        <f>IF(K337&lt;&gt;"Yes",0,P337*Sales_Tax_Settings!$B$8)</f>
        <v>0</v>
      </c>
      <c r="R337" s="4">
        <f>IF(K337&lt;&gt;"Yes",0,P337*Sales_Tax_Settings!$B$9)</f>
        <v>0</v>
      </c>
      <c r="S337" s="4">
        <f t="shared" si="41"/>
        <v>0</v>
      </c>
    </row>
    <row r="338" spans="1:19" x14ac:dyDescent="0.3">
      <c r="A338" t="str">
        <f>IF(Expense_Input!A338="","",Expense_Input!A338)</f>
        <v/>
      </c>
      <c r="B338" t="str">
        <f>IF(Expense_Input!B338="","",Expense_Input!B338)</f>
        <v/>
      </c>
      <c r="C338" t="str">
        <f t="shared" si="35"/>
        <v/>
      </c>
      <c r="D338" t="str">
        <f>IF(Expense_Input!C338="","",Expense_Input!C338)</f>
        <v/>
      </c>
      <c r="E338" s="4" t="str">
        <f>IF(Expense_Input!D338="","",Expense_Input!D338)</f>
        <v/>
      </c>
      <c r="F338" t="str">
        <f>IF(Expense_Input!E338="","",Expense_Input!E338)</f>
        <v/>
      </c>
      <c r="G338" t="str">
        <f>IF(Expense_Input!H338="","",Expense_Input!H338)</f>
        <v/>
      </c>
      <c r="H338" t="str">
        <f>IF(Expense_Input!I338="","Auto",Expense_Input!I338)</f>
        <v>Auto</v>
      </c>
      <c r="I338" t="str">
        <f>IF(F338="","",IFERROR(VLOOKUP(F338,Sales_Tax_Settings!$A$15:$B$27,2,FALSE),"Tax Unknown"))</f>
        <v/>
      </c>
      <c r="J338" t="str">
        <f t="shared" si="36"/>
        <v/>
      </c>
      <c r="K338" t="str">
        <f>IF(AND(Sales_Tax_Settings!$B$5="Yes",G338="Personal Expense",J338="Taxable"),"Yes","No")</f>
        <v>No</v>
      </c>
      <c r="L338" s="4">
        <f t="shared" si="37"/>
        <v>0</v>
      </c>
      <c r="M338" s="4">
        <f t="shared" si="38"/>
        <v>0</v>
      </c>
      <c r="N338" s="4">
        <f t="shared" si="39"/>
        <v>0</v>
      </c>
      <c r="O338" s="4">
        <f t="shared" si="40"/>
        <v>0</v>
      </c>
      <c r="P338" s="4">
        <f>IF(K338&lt;&gt;"Yes",0,IF(Sales_Tax_Settings!$B$6="Yes",E338/(1+Sales_Tax_Settings!$B$10),E338))</f>
        <v>0</v>
      </c>
      <c r="Q338" s="4">
        <f>IF(K338&lt;&gt;"Yes",0,P338*Sales_Tax_Settings!$B$8)</f>
        <v>0</v>
      </c>
      <c r="R338" s="4">
        <f>IF(K338&lt;&gt;"Yes",0,P338*Sales_Tax_Settings!$B$9)</f>
        <v>0</v>
      </c>
      <c r="S338" s="4">
        <f t="shared" si="41"/>
        <v>0</v>
      </c>
    </row>
    <row r="339" spans="1:19" x14ac:dyDescent="0.3">
      <c r="A339" t="str">
        <f>IF(Expense_Input!A339="","",Expense_Input!A339)</f>
        <v/>
      </c>
      <c r="B339" t="str">
        <f>IF(Expense_Input!B339="","",Expense_Input!B339)</f>
        <v/>
      </c>
      <c r="C339" t="str">
        <f t="shared" si="35"/>
        <v/>
      </c>
      <c r="D339" t="str">
        <f>IF(Expense_Input!C339="","",Expense_Input!C339)</f>
        <v/>
      </c>
      <c r="E339" s="4" t="str">
        <f>IF(Expense_Input!D339="","",Expense_Input!D339)</f>
        <v/>
      </c>
      <c r="F339" t="str">
        <f>IF(Expense_Input!E339="","",Expense_Input!E339)</f>
        <v/>
      </c>
      <c r="G339" t="str">
        <f>IF(Expense_Input!H339="","",Expense_Input!H339)</f>
        <v/>
      </c>
      <c r="H339" t="str">
        <f>IF(Expense_Input!I339="","Auto",Expense_Input!I339)</f>
        <v>Auto</v>
      </c>
      <c r="I339" t="str">
        <f>IF(F339="","",IFERROR(VLOOKUP(F339,Sales_Tax_Settings!$A$15:$B$27,2,FALSE),"Tax Unknown"))</f>
        <v/>
      </c>
      <c r="J339" t="str">
        <f t="shared" si="36"/>
        <v/>
      </c>
      <c r="K339" t="str">
        <f>IF(AND(Sales_Tax_Settings!$B$5="Yes",G339="Personal Expense",J339="Taxable"),"Yes","No")</f>
        <v>No</v>
      </c>
      <c r="L339" s="4">
        <f t="shared" si="37"/>
        <v>0</v>
      </c>
      <c r="M339" s="4">
        <f t="shared" si="38"/>
        <v>0</v>
      </c>
      <c r="N339" s="4">
        <f t="shared" si="39"/>
        <v>0</v>
      </c>
      <c r="O339" s="4">
        <f t="shared" si="40"/>
        <v>0</v>
      </c>
      <c r="P339" s="4">
        <f>IF(K339&lt;&gt;"Yes",0,IF(Sales_Tax_Settings!$B$6="Yes",E339/(1+Sales_Tax_Settings!$B$10),E339))</f>
        <v>0</v>
      </c>
      <c r="Q339" s="4">
        <f>IF(K339&lt;&gt;"Yes",0,P339*Sales_Tax_Settings!$B$8)</f>
        <v>0</v>
      </c>
      <c r="R339" s="4">
        <f>IF(K339&lt;&gt;"Yes",0,P339*Sales_Tax_Settings!$B$9)</f>
        <v>0</v>
      </c>
      <c r="S339" s="4">
        <f t="shared" si="41"/>
        <v>0</v>
      </c>
    </row>
    <row r="340" spans="1:19" x14ac:dyDescent="0.3">
      <c r="A340" t="str">
        <f>IF(Expense_Input!A340="","",Expense_Input!A340)</f>
        <v/>
      </c>
      <c r="B340" t="str">
        <f>IF(Expense_Input!B340="","",Expense_Input!B340)</f>
        <v/>
      </c>
      <c r="C340" t="str">
        <f t="shared" si="35"/>
        <v/>
      </c>
      <c r="D340" t="str">
        <f>IF(Expense_Input!C340="","",Expense_Input!C340)</f>
        <v/>
      </c>
      <c r="E340" s="4" t="str">
        <f>IF(Expense_Input!D340="","",Expense_Input!D340)</f>
        <v/>
      </c>
      <c r="F340" t="str">
        <f>IF(Expense_Input!E340="","",Expense_Input!E340)</f>
        <v/>
      </c>
      <c r="G340" t="str">
        <f>IF(Expense_Input!H340="","",Expense_Input!H340)</f>
        <v/>
      </c>
      <c r="H340" t="str">
        <f>IF(Expense_Input!I340="","Auto",Expense_Input!I340)</f>
        <v>Auto</v>
      </c>
      <c r="I340" t="str">
        <f>IF(F340="","",IFERROR(VLOOKUP(F340,Sales_Tax_Settings!$A$15:$B$27,2,FALSE),"Tax Unknown"))</f>
        <v/>
      </c>
      <c r="J340" t="str">
        <f t="shared" si="36"/>
        <v/>
      </c>
      <c r="K340" t="str">
        <f>IF(AND(Sales_Tax_Settings!$B$5="Yes",G340="Personal Expense",J340="Taxable"),"Yes","No")</f>
        <v>No</v>
      </c>
      <c r="L340" s="4">
        <f t="shared" si="37"/>
        <v>0</v>
      </c>
      <c r="M340" s="4">
        <f t="shared" si="38"/>
        <v>0</v>
      </c>
      <c r="N340" s="4">
        <f t="shared" si="39"/>
        <v>0</v>
      </c>
      <c r="O340" s="4">
        <f t="shared" si="40"/>
        <v>0</v>
      </c>
      <c r="P340" s="4">
        <f>IF(K340&lt;&gt;"Yes",0,IF(Sales_Tax_Settings!$B$6="Yes",E340/(1+Sales_Tax_Settings!$B$10),E340))</f>
        <v>0</v>
      </c>
      <c r="Q340" s="4">
        <f>IF(K340&lt;&gt;"Yes",0,P340*Sales_Tax_Settings!$B$8)</f>
        <v>0</v>
      </c>
      <c r="R340" s="4">
        <f>IF(K340&lt;&gt;"Yes",0,P340*Sales_Tax_Settings!$B$9)</f>
        <v>0</v>
      </c>
      <c r="S340" s="4">
        <f t="shared" si="41"/>
        <v>0</v>
      </c>
    </row>
    <row r="341" spans="1:19" x14ac:dyDescent="0.3">
      <c r="A341" t="str">
        <f>IF(Expense_Input!A341="","",Expense_Input!A341)</f>
        <v/>
      </c>
      <c r="B341" t="str">
        <f>IF(Expense_Input!B341="","",Expense_Input!B341)</f>
        <v/>
      </c>
      <c r="C341" t="str">
        <f t="shared" si="35"/>
        <v/>
      </c>
      <c r="D341" t="str">
        <f>IF(Expense_Input!C341="","",Expense_Input!C341)</f>
        <v/>
      </c>
      <c r="E341" s="4" t="str">
        <f>IF(Expense_Input!D341="","",Expense_Input!D341)</f>
        <v/>
      </c>
      <c r="F341" t="str">
        <f>IF(Expense_Input!E341="","",Expense_Input!E341)</f>
        <v/>
      </c>
      <c r="G341" t="str">
        <f>IF(Expense_Input!H341="","",Expense_Input!H341)</f>
        <v/>
      </c>
      <c r="H341" t="str">
        <f>IF(Expense_Input!I341="","Auto",Expense_Input!I341)</f>
        <v>Auto</v>
      </c>
      <c r="I341" t="str">
        <f>IF(F341="","",IFERROR(VLOOKUP(F341,Sales_Tax_Settings!$A$15:$B$27,2,FALSE),"Tax Unknown"))</f>
        <v/>
      </c>
      <c r="J341" t="str">
        <f t="shared" si="36"/>
        <v/>
      </c>
      <c r="K341" t="str">
        <f>IF(AND(Sales_Tax_Settings!$B$5="Yes",G341="Personal Expense",J341="Taxable"),"Yes","No")</f>
        <v>No</v>
      </c>
      <c r="L341" s="4">
        <f t="shared" si="37"/>
        <v>0</v>
      </c>
      <c r="M341" s="4">
        <f t="shared" si="38"/>
        <v>0</v>
      </c>
      <c r="N341" s="4">
        <f t="shared" si="39"/>
        <v>0</v>
      </c>
      <c r="O341" s="4">
        <f t="shared" si="40"/>
        <v>0</v>
      </c>
      <c r="P341" s="4">
        <f>IF(K341&lt;&gt;"Yes",0,IF(Sales_Tax_Settings!$B$6="Yes",E341/(1+Sales_Tax_Settings!$B$10),E341))</f>
        <v>0</v>
      </c>
      <c r="Q341" s="4">
        <f>IF(K341&lt;&gt;"Yes",0,P341*Sales_Tax_Settings!$B$8)</f>
        <v>0</v>
      </c>
      <c r="R341" s="4">
        <f>IF(K341&lt;&gt;"Yes",0,P341*Sales_Tax_Settings!$B$9)</f>
        <v>0</v>
      </c>
      <c r="S341" s="4">
        <f t="shared" si="41"/>
        <v>0</v>
      </c>
    </row>
    <row r="342" spans="1:19" x14ac:dyDescent="0.3">
      <c r="A342" t="str">
        <f>IF(Expense_Input!A342="","",Expense_Input!A342)</f>
        <v/>
      </c>
      <c r="B342" t="str">
        <f>IF(Expense_Input!B342="","",Expense_Input!B342)</f>
        <v/>
      </c>
      <c r="C342" t="str">
        <f t="shared" si="35"/>
        <v/>
      </c>
      <c r="D342" t="str">
        <f>IF(Expense_Input!C342="","",Expense_Input!C342)</f>
        <v/>
      </c>
      <c r="E342" s="4" t="str">
        <f>IF(Expense_Input!D342="","",Expense_Input!D342)</f>
        <v/>
      </c>
      <c r="F342" t="str">
        <f>IF(Expense_Input!E342="","",Expense_Input!E342)</f>
        <v/>
      </c>
      <c r="G342" t="str">
        <f>IF(Expense_Input!H342="","",Expense_Input!H342)</f>
        <v/>
      </c>
      <c r="H342" t="str">
        <f>IF(Expense_Input!I342="","Auto",Expense_Input!I342)</f>
        <v>Auto</v>
      </c>
      <c r="I342" t="str">
        <f>IF(F342="","",IFERROR(VLOOKUP(F342,Sales_Tax_Settings!$A$15:$B$27,2,FALSE),"Tax Unknown"))</f>
        <v/>
      </c>
      <c r="J342" t="str">
        <f t="shared" si="36"/>
        <v/>
      </c>
      <c r="K342" t="str">
        <f>IF(AND(Sales_Tax_Settings!$B$5="Yes",G342="Personal Expense",J342="Taxable"),"Yes","No")</f>
        <v>No</v>
      </c>
      <c r="L342" s="4">
        <f t="shared" si="37"/>
        <v>0</v>
      </c>
      <c r="M342" s="4">
        <f t="shared" si="38"/>
        <v>0</v>
      </c>
      <c r="N342" s="4">
        <f t="shared" si="39"/>
        <v>0</v>
      </c>
      <c r="O342" s="4">
        <f t="shared" si="40"/>
        <v>0</v>
      </c>
      <c r="P342" s="4">
        <f>IF(K342&lt;&gt;"Yes",0,IF(Sales_Tax_Settings!$B$6="Yes",E342/(1+Sales_Tax_Settings!$B$10),E342))</f>
        <v>0</v>
      </c>
      <c r="Q342" s="4">
        <f>IF(K342&lt;&gt;"Yes",0,P342*Sales_Tax_Settings!$B$8)</f>
        <v>0</v>
      </c>
      <c r="R342" s="4">
        <f>IF(K342&lt;&gt;"Yes",0,P342*Sales_Tax_Settings!$B$9)</f>
        <v>0</v>
      </c>
      <c r="S342" s="4">
        <f t="shared" si="41"/>
        <v>0</v>
      </c>
    </row>
    <row r="343" spans="1:19" x14ac:dyDescent="0.3">
      <c r="A343" t="str">
        <f>IF(Expense_Input!A343="","",Expense_Input!A343)</f>
        <v/>
      </c>
      <c r="B343" t="str">
        <f>IF(Expense_Input!B343="","",Expense_Input!B343)</f>
        <v/>
      </c>
      <c r="C343" t="str">
        <f t="shared" si="35"/>
        <v/>
      </c>
      <c r="D343" t="str">
        <f>IF(Expense_Input!C343="","",Expense_Input!C343)</f>
        <v/>
      </c>
      <c r="E343" s="4" t="str">
        <f>IF(Expense_Input!D343="","",Expense_Input!D343)</f>
        <v/>
      </c>
      <c r="F343" t="str">
        <f>IF(Expense_Input!E343="","",Expense_Input!E343)</f>
        <v/>
      </c>
      <c r="G343" t="str">
        <f>IF(Expense_Input!H343="","",Expense_Input!H343)</f>
        <v/>
      </c>
      <c r="H343" t="str">
        <f>IF(Expense_Input!I343="","Auto",Expense_Input!I343)</f>
        <v>Auto</v>
      </c>
      <c r="I343" t="str">
        <f>IF(F343="","",IFERROR(VLOOKUP(F343,Sales_Tax_Settings!$A$15:$B$27,2,FALSE),"Tax Unknown"))</f>
        <v/>
      </c>
      <c r="J343" t="str">
        <f t="shared" si="36"/>
        <v/>
      </c>
      <c r="K343" t="str">
        <f>IF(AND(Sales_Tax_Settings!$B$5="Yes",G343="Personal Expense",J343="Taxable"),"Yes","No")</f>
        <v>No</v>
      </c>
      <c r="L343" s="4">
        <f t="shared" si="37"/>
        <v>0</v>
      </c>
      <c r="M343" s="4">
        <f t="shared" si="38"/>
        <v>0</v>
      </c>
      <c r="N343" s="4">
        <f t="shared" si="39"/>
        <v>0</v>
      </c>
      <c r="O343" s="4">
        <f t="shared" si="40"/>
        <v>0</v>
      </c>
      <c r="P343" s="4">
        <f>IF(K343&lt;&gt;"Yes",0,IF(Sales_Tax_Settings!$B$6="Yes",E343/(1+Sales_Tax_Settings!$B$10),E343))</f>
        <v>0</v>
      </c>
      <c r="Q343" s="4">
        <f>IF(K343&lt;&gt;"Yes",0,P343*Sales_Tax_Settings!$B$8)</f>
        <v>0</v>
      </c>
      <c r="R343" s="4">
        <f>IF(K343&lt;&gt;"Yes",0,P343*Sales_Tax_Settings!$B$9)</f>
        <v>0</v>
      </c>
      <c r="S343" s="4">
        <f t="shared" si="41"/>
        <v>0</v>
      </c>
    </row>
    <row r="344" spans="1:19" x14ac:dyDescent="0.3">
      <c r="A344" t="str">
        <f>IF(Expense_Input!A344="","",Expense_Input!A344)</f>
        <v/>
      </c>
      <c r="B344" t="str">
        <f>IF(Expense_Input!B344="","",Expense_Input!B344)</f>
        <v/>
      </c>
      <c r="C344" t="str">
        <f t="shared" si="35"/>
        <v/>
      </c>
      <c r="D344" t="str">
        <f>IF(Expense_Input!C344="","",Expense_Input!C344)</f>
        <v/>
      </c>
      <c r="E344" s="4" t="str">
        <f>IF(Expense_Input!D344="","",Expense_Input!D344)</f>
        <v/>
      </c>
      <c r="F344" t="str">
        <f>IF(Expense_Input!E344="","",Expense_Input!E344)</f>
        <v/>
      </c>
      <c r="G344" t="str">
        <f>IF(Expense_Input!H344="","",Expense_Input!H344)</f>
        <v/>
      </c>
      <c r="H344" t="str">
        <f>IF(Expense_Input!I344="","Auto",Expense_Input!I344)</f>
        <v>Auto</v>
      </c>
      <c r="I344" t="str">
        <f>IF(F344="","",IFERROR(VLOOKUP(F344,Sales_Tax_Settings!$A$15:$B$27,2,FALSE),"Tax Unknown"))</f>
        <v/>
      </c>
      <c r="J344" t="str">
        <f t="shared" si="36"/>
        <v/>
      </c>
      <c r="K344" t="str">
        <f>IF(AND(Sales_Tax_Settings!$B$5="Yes",G344="Personal Expense",J344="Taxable"),"Yes","No")</f>
        <v>No</v>
      </c>
      <c r="L344" s="4">
        <f t="shared" si="37"/>
        <v>0</v>
      </c>
      <c r="M344" s="4">
        <f t="shared" si="38"/>
        <v>0</v>
      </c>
      <c r="N344" s="4">
        <f t="shared" si="39"/>
        <v>0</v>
      </c>
      <c r="O344" s="4">
        <f t="shared" si="40"/>
        <v>0</v>
      </c>
      <c r="P344" s="4">
        <f>IF(K344&lt;&gt;"Yes",0,IF(Sales_Tax_Settings!$B$6="Yes",E344/(1+Sales_Tax_Settings!$B$10),E344))</f>
        <v>0</v>
      </c>
      <c r="Q344" s="4">
        <f>IF(K344&lt;&gt;"Yes",0,P344*Sales_Tax_Settings!$B$8)</f>
        <v>0</v>
      </c>
      <c r="R344" s="4">
        <f>IF(K344&lt;&gt;"Yes",0,P344*Sales_Tax_Settings!$B$9)</f>
        <v>0</v>
      </c>
      <c r="S344" s="4">
        <f t="shared" si="41"/>
        <v>0</v>
      </c>
    </row>
    <row r="345" spans="1:19" x14ac:dyDescent="0.3">
      <c r="A345" t="str">
        <f>IF(Expense_Input!A345="","",Expense_Input!A345)</f>
        <v/>
      </c>
      <c r="B345" t="str">
        <f>IF(Expense_Input!B345="","",Expense_Input!B345)</f>
        <v/>
      </c>
      <c r="C345" t="str">
        <f t="shared" si="35"/>
        <v/>
      </c>
      <c r="D345" t="str">
        <f>IF(Expense_Input!C345="","",Expense_Input!C345)</f>
        <v/>
      </c>
      <c r="E345" s="4" t="str">
        <f>IF(Expense_Input!D345="","",Expense_Input!D345)</f>
        <v/>
      </c>
      <c r="F345" t="str">
        <f>IF(Expense_Input!E345="","",Expense_Input!E345)</f>
        <v/>
      </c>
      <c r="G345" t="str">
        <f>IF(Expense_Input!H345="","",Expense_Input!H345)</f>
        <v/>
      </c>
      <c r="H345" t="str">
        <f>IF(Expense_Input!I345="","Auto",Expense_Input!I345)</f>
        <v>Auto</v>
      </c>
      <c r="I345" t="str">
        <f>IF(F345="","",IFERROR(VLOOKUP(F345,Sales_Tax_Settings!$A$15:$B$27,2,FALSE),"Tax Unknown"))</f>
        <v/>
      </c>
      <c r="J345" t="str">
        <f t="shared" si="36"/>
        <v/>
      </c>
      <c r="K345" t="str">
        <f>IF(AND(Sales_Tax_Settings!$B$5="Yes",G345="Personal Expense",J345="Taxable"),"Yes","No")</f>
        <v>No</v>
      </c>
      <c r="L345" s="4">
        <f t="shared" si="37"/>
        <v>0</v>
      </c>
      <c r="M345" s="4">
        <f t="shared" si="38"/>
        <v>0</v>
      </c>
      <c r="N345" s="4">
        <f t="shared" si="39"/>
        <v>0</v>
      </c>
      <c r="O345" s="4">
        <f t="shared" si="40"/>
        <v>0</v>
      </c>
      <c r="P345" s="4">
        <f>IF(K345&lt;&gt;"Yes",0,IF(Sales_Tax_Settings!$B$6="Yes",E345/(1+Sales_Tax_Settings!$B$10),E345))</f>
        <v>0</v>
      </c>
      <c r="Q345" s="4">
        <f>IF(K345&lt;&gt;"Yes",0,P345*Sales_Tax_Settings!$B$8)</f>
        <v>0</v>
      </c>
      <c r="R345" s="4">
        <f>IF(K345&lt;&gt;"Yes",0,P345*Sales_Tax_Settings!$B$9)</f>
        <v>0</v>
      </c>
      <c r="S345" s="4">
        <f t="shared" si="41"/>
        <v>0</v>
      </c>
    </row>
    <row r="346" spans="1:19" x14ac:dyDescent="0.3">
      <c r="A346" t="str">
        <f>IF(Expense_Input!A346="","",Expense_Input!A346)</f>
        <v/>
      </c>
      <c r="B346" t="str">
        <f>IF(Expense_Input!B346="","",Expense_Input!B346)</f>
        <v/>
      </c>
      <c r="C346" t="str">
        <f t="shared" si="35"/>
        <v/>
      </c>
      <c r="D346" t="str">
        <f>IF(Expense_Input!C346="","",Expense_Input!C346)</f>
        <v/>
      </c>
      <c r="E346" s="4" t="str">
        <f>IF(Expense_Input!D346="","",Expense_Input!D346)</f>
        <v/>
      </c>
      <c r="F346" t="str">
        <f>IF(Expense_Input!E346="","",Expense_Input!E346)</f>
        <v/>
      </c>
      <c r="G346" t="str">
        <f>IF(Expense_Input!H346="","",Expense_Input!H346)</f>
        <v/>
      </c>
      <c r="H346" t="str">
        <f>IF(Expense_Input!I346="","Auto",Expense_Input!I346)</f>
        <v>Auto</v>
      </c>
      <c r="I346" t="str">
        <f>IF(F346="","",IFERROR(VLOOKUP(F346,Sales_Tax_Settings!$A$15:$B$27,2,FALSE),"Tax Unknown"))</f>
        <v/>
      </c>
      <c r="J346" t="str">
        <f t="shared" si="36"/>
        <v/>
      </c>
      <c r="K346" t="str">
        <f>IF(AND(Sales_Tax_Settings!$B$5="Yes",G346="Personal Expense",J346="Taxable"),"Yes","No")</f>
        <v>No</v>
      </c>
      <c r="L346" s="4">
        <f t="shared" si="37"/>
        <v>0</v>
      </c>
      <c r="M346" s="4">
        <f t="shared" si="38"/>
        <v>0</v>
      </c>
      <c r="N346" s="4">
        <f t="shared" si="39"/>
        <v>0</v>
      </c>
      <c r="O346" s="4">
        <f t="shared" si="40"/>
        <v>0</v>
      </c>
      <c r="P346" s="4">
        <f>IF(K346&lt;&gt;"Yes",0,IF(Sales_Tax_Settings!$B$6="Yes",E346/(1+Sales_Tax_Settings!$B$10),E346))</f>
        <v>0</v>
      </c>
      <c r="Q346" s="4">
        <f>IF(K346&lt;&gt;"Yes",0,P346*Sales_Tax_Settings!$B$8)</f>
        <v>0</v>
      </c>
      <c r="R346" s="4">
        <f>IF(K346&lt;&gt;"Yes",0,P346*Sales_Tax_Settings!$B$9)</f>
        <v>0</v>
      </c>
      <c r="S346" s="4">
        <f t="shared" si="41"/>
        <v>0</v>
      </c>
    </row>
    <row r="347" spans="1:19" x14ac:dyDescent="0.3">
      <c r="A347" t="str">
        <f>IF(Expense_Input!A347="","",Expense_Input!A347)</f>
        <v/>
      </c>
      <c r="B347" t="str">
        <f>IF(Expense_Input!B347="","",Expense_Input!B347)</f>
        <v/>
      </c>
      <c r="C347" t="str">
        <f t="shared" si="35"/>
        <v/>
      </c>
      <c r="D347" t="str">
        <f>IF(Expense_Input!C347="","",Expense_Input!C347)</f>
        <v/>
      </c>
      <c r="E347" s="4" t="str">
        <f>IF(Expense_Input!D347="","",Expense_Input!D347)</f>
        <v/>
      </c>
      <c r="F347" t="str">
        <f>IF(Expense_Input!E347="","",Expense_Input!E347)</f>
        <v/>
      </c>
      <c r="G347" t="str">
        <f>IF(Expense_Input!H347="","",Expense_Input!H347)</f>
        <v/>
      </c>
      <c r="H347" t="str">
        <f>IF(Expense_Input!I347="","Auto",Expense_Input!I347)</f>
        <v>Auto</v>
      </c>
      <c r="I347" t="str">
        <f>IF(F347="","",IFERROR(VLOOKUP(F347,Sales_Tax_Settings!$A$15:$B$27,2,FALSE),"Tax Unknown"))</f>
        <v/>
      </c>
      <c r="J347" t="str">
        <f t="shared" si="36"/>
        <v/>
      </c>
      <c r="K347" t="str">
        <f>IF(AND(Sales_Tax_Settings!$B$5="Yes",G347="Personal Expense",J347="Taxable"),"Yes","No")</f>
        <v>No</v>
      </c>
      <c r="L347" s="4">
        <f t="shared" si="37"/>
        <v>0</v>
      </c>
      <c r="M347" s="4">
        <f t="shared" si="38"/>
        <v>0</v>
      </c>
      <c r="N347" s="4">
        <f t="shared" si="39"/>
        <v>0</v>
      </c>
      <c r="O347" s="4">
        <f t="shared" si="40"/>
        <v>0</v>
      </c>
      <c r="P347" s="4">
        <f>IF(K347&lt;&gt;"Yes",0,IF(Sales_Tax_Settings!$B$6="Yes",E347/(1+Sales_Tax_Settings!$B$10),E347))</f>
        <v>0</v>
      </c>
      <c r="Q347" s="4">
        <f>IF(K347&lt;&gt;"Yes",0,P347*Sales_Tax_Settings!$B$8)</f>
        <v>0</v>
      </c>
      <c r="R347" s="4">
        <f>IF(K347&lt;&gt;"Yes",0,P347*Sales_Tax_Settings!$B$9)</f>
        <v>0</v>
      </c>
      <c r="S347" s="4">
        <f t="shared" si="41"/>
        <v>0</v>
      </c>
    </row>
    <row r="348" spans="1:19" x14ac:dyDescent="0.3">
      <c r="A348" t="str">
        <f>IF(Expense_Input!A348="","",Expense_Input!A348)</f>
        <v/>
      </c>
      <c r="B348" t="str">
        <f>IF(Expense_Input!B348="","",Expense_Input!B348)</f>
        <v/>
      </c>
      <c r="C348" t="str">
        <f t="shared" si="35"/>
        <v/>
      </c>
      <c r="D348" t="str">
        <f>IF(Expense_Input!C348="","",Expense_Input!C348)</f>
        <v/>
      </c>
      <c r="E348" s="4" t="str">
        <f>IF(Expense_Input!D348="","",Expense_Input!D348)</f>
        <v/>
      </c>
      <c r="F348" t="str">
        <f>IF(Expense_Input!E348="","",Expense_Input!E348)</f>
        <v/>
      </c>
      <c r="G348" t="str">
        <f>IF(Expense_Input!H348="","",Expense_Input!H348)</f>
        <v/>
      </c>
      <c r="H348" t="str">
        <f>IF(Expense_Input!I348="","Auto",Expense_Input!I348)</f>
        <v>Auto</v>
      </c>
      <c r="I348" t="str">
        <f>IF(F348="","",IFERROR(VLOOKUP(F348,Sales_Tax_Settings!$A$15:$B$27,2,FALSE),"Tax Unknown"))</f>
        <v/>
      </c>
      <c r="J348" t="str">
        <f t="shared" si="36"/>
        <v/>
      </c>
      <c r="K348" t="str">
        <f>IF(AND(Sales_Tax_Settings!$B$5="Yes",G348="Personal Expense",J348="Taxable"),"Yes","No")</f>
        <v>No</v>
      </c>
      <c r="L348" s="4">
        <f t="shared" si="37"/>
        <v>0</v>
      </c>
      <c r="M348" s="4">
        <f t="shared" si="38"/>
        <v>0</v>
      </c>
      <c r="N348" s="4">
        <f t="shared" si="39"/>
        <v>0</v>
      </c>
      <c r="O348" s="4">
        <f t="shared" si="40"/>
        <v>0</v>
      </c>
      <c r="P348" s="4">
        <f>IF(K348&lt;&gt;"Yes",0,IF(Sales_Tax_Settings!$B$6="Yes",E348/(1+Sales_Tax_Settings!$B$10),E348))</f>
        <v>0</v>
      </c>
      <c r="Q348" s="4">
        <f>IF(K348&lt;&gt;"Yes",0,P348*Sales_Tax_Settings!$B$8)</f>
        <v>0</v>
      </c>
      <c r="R348" s="4">
        <f>IF(K348&lt;&gt;"Yes",0,P348*Sales_Tax_Settings!$B$9)</f>
        <v>0</v>
      </c>
      <c r="S348" s="4">
        <f t="shared" si="41"/>
        <v>0</v>
      </c>
    </row>
    <row r="349" spans="1:19" x14ac:dyDescent="0.3">
      <c r="A349" t="str">
        <f>IF(Expense_Input!A349="","",Expense_Input!A349)</f>
        <v/>
      </c>
      <c r="B349" t="str">
        <f>IF(Expense_Input!B349="","",Expense_Input!B349)</f>
        <v/>
      </c>
      <c r="C349" t="str">
        <f t="shared" si="35"/>
        <v/>
      </c>
      <c r="D349" t="str">
        <f>IF(Expense_Input!C349="","",Expense_Input!C349)</f>
        <v/>
      </c>
      <c r="E349" s="4" t="str">
        <f>IF(Expense_Input!D349="","",Expense_Input!D349)</f>
        <v/>
      </c>
      <c r="F349" t="str">
        <f>IF(Expense_Input!E349="","",Expense_Input!E349)</f>
        <v/>
      </c>
      <c r="G349" t="str">
        <f>IF(Expense_Input!H349="","",Expense_Input!H349)</f>
        <v/>
      </c>
      <c r="H349" t="str">
        <f>IF(Expense_Input!I349="","Auto",Expense_Input!I349)</f>
        <v>Auto</v>
      </c>
      <c r="I349" t="str">
        <f>IF(F349="","",IFERROR(VLOOKUP(F349,Sales_Tax_Settings!$A$15:$B$27,2,FALSE),"Tax Unknown"))</f>
        <v/>
      </c>
      <c r="J349" t="str">
        <f t="shared" si="36"/>
        <v/>
      </c>
      <c r="K349" t="str">
        <f>IF(AND(Sales_Tax_Settings!$B$5="Yes",G349="Personal Expense",J349="Taxable"),"Yes","No")</f>
        <v>No</v>
      </c>
      <c r="L349" s="4">
        <f t="shared" si="37"/>
        <v>0</v>
      </c>
      <c r="M349" s="4">
        <f t="shared" si="38"/>
        <v>0</v>
      </c>
      <c r="N349" s="4">
        <f t="shared" si="39"/>
        <v>0</v>
      </c>
      <c r="O349" s="4">
        <f t="shared" si="40"/>
        <v>0</v>
      </c>
      <c r="P349" s="4">
        <f>IF(K349&lt;&gt;"Yes",0,IF(Sales_Tax_Settings!$B$6="Yes",E349/(1+Sales_Tax_Settings!$B$10),E349))</f>
        <v>0</v>
      </c>
      <c r="Q349" s="4">
        <f>IF(K349&lt;&gt;"Yes",0,P349*Sales_Tax_Settings!$B$8)</f>
        <v>0</v>
      </c>
      <c r="R349" s="4">
        <f>IF(K349&lt;&gt;"Yes",0,P349*Sales_Tax_Settings!$B$9)</f>
        <v>0</v>
      </c>
      <c r="S349" s="4">
        <f t="shared" si="41"/>
        <v>0</v>
      </c>
    </row>
    <row r="350" spans="1:19" x14ac:dyDescent="0.3">
      <c r="A350" t="str">
        <f>IF(Expense_Input!A350="","",Expense_Input!A350)</f>
        <v/>
      </c>
      <c r="B350" t="str">
        <f>IF(Expense_Input!B350="","",Expense_Input!B350)</f>
        <v/>
      </c>
      <c r="C350" t="str">
        <f t="shared" si="35"/>
        <v/>
      </c>
      <c r="D350" t="str">
        <f>IF(Expense_Input!C350="","",Expense_Input!C350)</f>
        <v/>
      </c>
      <c r="E350" s="4" t="str">
        <f>IF(Expense_Input!D350="","",Expense_Input!D350)</f>
        <v/>
      </c>
      <c r="F350" t="str">
        <f>IF(Expense_Input!E350="","",Expense_Input!E350)</f>
        <v/>
      </c>
      <c r="G350" t="str">
        <f>IF(Expense_Input!H350="","",Expense_Input!H350)</f>
        <v/>
      </c>
      <c r="H350" t="str">
        <f>IF(Expense_Input!I350="","Auto",Expense_Input!I350)</f>
        <v>Auto</v>
      </c>
      <c r="I350" t="str">
        <f>IF(F350="","",IFERROR(VLOOKUP(F350,Sales_Tax_Settings!$A$15:$B$27,2,FALSE),"Tax Unknown"))</f>
        <v/>
      </c>
      <c r="J350" t="str">
        <f t="shared" si="36"/>
        <v/>
      </c>
      <c r="K350" t="str">
        <f>IF(AND(Sales_Tax_Settings!$B$5="Yes",G350="Personal Expense",J350="Taxable"),"Yes","No")</f>
        <v>No</v>
      </c>
      <c r="L350" s="4">
        <f t="shared" si="37"/>
        <v>0</v>
      </c>
      <c r="M350" s="4">
        <f t="shared" si="38"/>
        <v>0</v>
      </c>
      <c r="N350" s="4">
        <f t="shared" si="39"/>
        <v>0</v>
      </c>
      <c r="O350" s="4">
        <f t="shared" si="40"/>
        <v>0</v>
      </c>
      <c r="P350" s="4">
        <f>IF(K350&lt;&gt;"Yes",0,IF(Sales_Tax_Settings!$B$6="Yes",E350/(1+Sales_Tax_Settings!$B$10),E350))</f>
        <v>0</v>
      </c>
      <c r="Q350" s="4">
        <f>IF(K350&lt;&gt;"Yes",0,P350*Sales_Tax_Settings!$B$8)</f>
        <v>0</v>
      </c>
      <c r="R350" s="4">
        <f>IF(K350&lt;&gt;"Yes",0,P350*Sales_Tax_Settings!$B$9)</f>
        <v>0</v>
      </c>
      <c r="S350" s="4">
        <f t="shared" si="41"/>
        <v>0</v>
      </c>
    </row>
    <row r="351" spans="1:19" x14ac:dyDescent="0.3">
      <c r="A351" t="str">
        <f>IF(Expense_Input!A351="","",Expense_Input!A351)</f>
        <v/>
      </c>
      <c r="B351" t="str">
        <f>IF(Expense_Input!B351="","",Expense_Input!B351)</f>
        <v/>
      </c>
      <c r="C351" t="str">
        <f t="shared" si="35"/>
        <v/>
      </c>
      <c r="D351" t="str">
        <f>IF(Expense_Input!C351="","",Expense_Input!C351)</f>
        <v/>
      </c>
      <c r="E351" s="4" t="str">
        <f>IF(Expense_Input!D351="","",Expense_Input!D351)</f>
        <v/>
      </c>
      <c r="F351" t="str">
        <f>IF(Expense_Input!E351="","",Expense_Input!E351)</f>
        <v/>
      </c>
      <c r="G351" t="str">
        <f>IF(Expense_Input!H351="","",Expense_Input!H351)</f>
        <v/>
      </c>
      <c r="H351" t="str">
        <f>IF(Expense_Input!I351="","Auto",Expense_Input!I351)</f>
        <v>Auto</v>
      </c>
      <c r="I351" t="str">
        <f>IF(F351="","",IFERROR(VLOOKUP(F351,Sales_Tax_Settings!$A$15:$B$27,2,FALSE),"Tax Unknown"))</f>
        <v/>
      </c>
      <c r="J351" t="str">
        <f t="shared" si="36"/>
        <v/>
      </c>
      <c r="K351" t="str">
        <f>IF(AND(Sales_Tax_Settings!$B$5="Yes",G351="Personal Expense",J351="Taxable"),"Yes","No")</f>
        <v>No</v>
      </c>
      <c r="L351" s="4">
        <f t="shared" si="37"/>
        <v>0</v>
      </c>
      <c r="M351" s="4">
        <f t="shared" si="38"/>
        <v>0</v>
      </c>
      <c r="N351" s="4">
        <f t="shared" si="39"/>
        <v>0</v>
      </c>
      <c r="O351" s="4">
        <f t="shared" si="40"/>
        <v>0</v>
      </c>
      <c r="P351" s="4">
        <f>IF(K351&lt;&gt;"Yes",0,IF(Sales_Tax_Settings!$B$6="Yes",E351/(1+Sales_Tax_Settings!$B$10),E351))</f>
        <v>0</v>
      </c>
      <c r="Q351" s="4">
        <f>IF(K351&lt;&gt;"Yes",0,P351*Sales_Tax_Settings!$B$8)</f>
        <v>0</v>
      </c>
      <c r="R351" s="4">
        <f>IF(K351&lt;&gt;"Yes",0,P351*Sales_Tax_Settings!$B$9)</f>
        <v>0</v>
      </c>
      <c r="S351" s="4">
        <f t="shared" si="41"/>
        <v>0</v>
      </c>
    </row>
    <row r="352" spans="1:19" x14ac:dyDescent="0.3">
      <c r="A352" t="str">
        <f>IF(Expense_Input!A352="","",Expense_Input!A352)</f>
        <v/>
      </c>
      <c r="B352" t="str">
        <f>IF(Expense_Input!B352="","",Expense_Input!B352)</f>
        <v/>
      </c>
      <c r="C352" t="str">
        <f t="shared" si="35"/>
        <v/>
      </c>
      <c r="D352" t="str">
        <f>IF(Expense_Input!C352="","",Expense_Input!C352)</f>
        <v/>
      </c>
      <c r="E352" s="4" t="str">
        <f>IF(Expense_Input!D352="","",Expense_Input!D352)</f>
        <v/>
      </c>
      <c r="F352" t="str">
        <f>IF(Expense_Input!E352="","",Expense_Input!E352)</f>
        <v/>
      </c>
      <c r="G352" t="str">
        <f>IF(Expense_Input!H352="","",Expense_Input!H352)</f>
        <v/>
      </c>
      <c r="H352" t="str">
        <f>IF(Expense_Input!I352="","Auto",Expense_Input!I352)</f>
        <v>Auto</v>
      </c>
      <c r="I352" t="str">
        <f>IF(F352="","",IFERROR(VLOOKUP(F352,Sales_Tax_Settings!$A$15:$B$27,2,FALSE),"Tax Unknown"))</f>
        <v/>
      </c>
      <c r="J352" t="str">
        <f t="shared" si="36"/>
        <v/>
      </c>
      <c r="K352" t="str">
        <f>IF(AND(Sales_Tax_Settings!$B$5="Yes",G352="Personal Expense",J352="Taxable"),"Yes","No")</f>
        <v>No</v>
      </c>
      <c r="L352" s="4">
        <f t="shared" si="37"/>
        <v>0</v>
      </c>
      <c r="M352" s="4">
        <f t="shared" si="38"/>
        <v>0</v>
      </c>
      <c r="N352" s="4">
        <f t="shared" si="39"/>
        <v>0</v>
      </c>
      <c r="O352" s="4">
        <f t="shared" si="40"/>
        <v>0</v>
      </c>
      <c r="P352" s="4">
        <f>IF(K352&lt;&gt;"Yes",0,IF(Sales_Tax_Settings!$B$6="Yes",E352/(1+Sales_Tax_Settings!$B$10),E352))</f>
        <v>0</v>
      </c>
      <c r="Q352" s="4">
        <f>IF(K352&lt;&gt;"Yes",0,P352*Sales_Tax_Settings!$B$8)</f>
        <v>0</v>
      </c>
      <c r="R352" s="4">
        <f>IF(K352&lt;&gt;"Yes",0,P352*Sales_Tax_Settings!$B$9)</f>
        <v>0</v>
      </c>
      <c r="S352" s="4">
        <f t="shared" si="41"/>
        <v>0</v>
      </c>
    </row>
    <row r="353" spans="1:19" x14ac:dyDescent="0.3">
      <c r="A353" t="str">
        <f>IF(Expense_Input!A353="","",Expense_Input!A353)</f>
        <v/>
      </c>
      <c r="B353" t="str">
        <f>IF(Expense_Input!B353="","",Expense_Input!B353)</f>
        <v/>
      </c>
      <c r="C353" t="str">
        <f t="shared" si="35"/>
        <v/>
      </c>
      <c r="D353" t="str">
        <f>IF(Expense_Input!C353="","",Expense_Input!C353)</f>
        <v/>
      </c>
      <c r="E353" s="4" t="str">
        <f>IF(Expense_Input!D353="","",Expense_Input!D353)</f>
        <v/>
      </c>
      <c r="F353" t="str">
        <f>IF(Expense_Input!E353="","",Expense_Input!E353)</f>
        <v/>
      </c>
      <c r="G353" t="str">
        <f>IF(Expense_Input!H353="","",Expense_Input!H353)</f>
        <v/>
      </c>
      <c r="H353" t="str">
        <f>IF(Expense_Input!I353="","Auto",Expense_Input!I353)</f>
        <v>Auto</v>
      </c>
      <c r="I353" t="str">
        <f>IF(F353="","",IFERROR(VLOOKUP(F353,Sales_Tax_Settings!$A$15:$B$27,2,FALSE),"Tax Unknown"))</f>
        <v/>
      </c>
      <c r="J353" t="str">
        <f t="shared" si="36"/>
        <v/>
      </c>
      <c r="K353" t="str">
        <f>IF(AND(Sales_Tax_Settings!$B$5="Yes",G353="Personal Expense",J353="Taxable"),"Yes","No")</f>
        <v>No</v>
      </c>
      <c r="L353" s="4">
        <f t="shared" si="37"/>
        <v>0</v>
      </c>
      <c r="M353" s="4">
        <f t="shared" si="38"/>
        <v>0</v>
      </c>
      <c r="N353" s="4">
        <f t="shared" si="39"/>
        <v>0</v>
      </c>
      <c r="O353" s="4">
        <f t="shared" si="40"/>
        <v>0</v>
      </c>
      <c r="P353" s="4">
        <f>IF(K353&lt;&gt;"Yes",0,IF(Sales_Tax_Settings!$B$6="Yes",E353/(1+Sales_Tax_Settings!$B$10),E353))</f>
        <v>0</v>
      </c>
      <c r="Q353" s="4">
        <f>IF(K353&lt;&gt;"Yes",0,P353*Sales_Tax_Settings!$B$8)</f>
        <v>0</v>
      </c>
      <c r="R353" s="4">
        <f>IF(K353&lt;&gt;"Yes",0,P353*Sales_Tax_Settings!$B$9)</f>
        <v>0</v>
      </c>
      <c r="S353" s="4">
        <f t="shared" si="41"/>
        <v>0</v>
      </c>
    </row>
    <row r="354" spans="1:19" x14ac:dyDescent="0.3">
      <c r="A354" t="str">
        <f>IF(Expense_Input!A354="","",Expense_Input!A354)</f>
        <v/>
      </c>
      <c r="B354" t="str">
        <f>IF(Expense_Input!B354="","",Expense_Input!B354)</f>
        <v/>
      </c>
      <c r="C354" t="str">
        <f t="shared" si="35"/>
        <v/>
      </c>
      <c r="D354" t="str">
        <f>IF(Expense_Input!C354="","",Expense_Input!C354)</f>
        <v/>
      </c>
      <c r="E354" s="4" t="str">
        <f>IF(Expense_Input!D354="","",Expense_Input!D354)</f>
        <v/>
      </c>
      <c r="F354" t="str">
        <f>IF(Expense_Input!E354="","",Expense_Input!E354)</f>
        <v/>
      </c>
      <c r="G354" t="str">
        <f>IF(Expense_Input!H354="","",Expense_Input!H354)</f>
        <v/>
      </c>
      <c r="H354" t="str">
        <f>IF(Expense_Input!I354="","Auto",Expense_Input!I354)</f>
        <v>Auto</v>
      </c>
      <c r="I354" t="str">
        <f>IF(F354="","",IFERROR(VLOOKUP(F354,Sales_Tax_Settings!$A$15:$B$27,2,FALSE),"Tax Unknown"))</f>
        <v/>
      </c>
      <c r="J354" t="str">
        <f t="shared" si="36"/>
        <v/>
      </c>
      <c r="K354" t="str">
        <f>IF(AND(Sales_Tax_Settings!$B$5="Yes",G354="Personal Expense",J354="Taxable"),"Yes","No")</f>
        <v>No</v>
      </c>
      <c r="L354" s="4">
        <f t="shared" si="37"/>
        <v>0</v>
      </c>
      <c r="M354" s="4">
        <f t="shared" si="38"/>
        <v>0</v>
      </c>
      <c r="N354" s="4">
        <f t="shared" si="39"/>
        <v>0</v>
      </c>
      <c r="O354" s="4">
        <f t="shared" si="40"/>
        <v>0</v>
      </c>
      <c r="P354" s="4">
        <f>IF(K354&lt;&gt;"Yes",0,IF(Sales_Tax_Settings!$B$6="Yes",E354/(1+Sales_Tax_Settings!$B$10),E354))</f>
        <v>0</v>
      </c>
      <c r="Q354" s="4">
        <f>IF(K354&lt;&gt;"Yes",0,P354*Sales_Tax_Settings!$B$8)</f>
        <v>0</v>
      </c>
      <c r="R354" s="4">
        <f>IF(K354&lt;&gt;"Yes",0,P354*Sales_Tax_Settings!$B$9)</f>
        <v>0</v>
      </c>
      <c r="S354" s="4">
        <f t="shared" si="41"/>
        <v>0</v>
      </c>
    </row>
    <row r="355" spans="1:19" x14ac:dyDescent="0.3">
      <c r="A355" t="str">
        <f>IF(Expense_Input!A355="","",Expense_Input!A355)</f>
        <v/>
      </c>
      <c r="B355" t="str">
        <f>IF(Expense_Input!B355="","",Expense_Input!B355)</f>
        <v/>
      </c>
      <c r="C355" t="str">
        <f t="shared" si="35"/>
        <v/>
      </c>
      <c r="D355" t="str">
        <f>IF(Expense_Input!C355="","",Expense_Input!C355)</f>
        <v/>
      </c>
      <c r="E355" s="4" t="str">
        <f>IF(Expense_Input!D355="","",Expense_Input!D355)</f>
        <v/>
      </c>
      <c r="F355" t="str">
        <f>IF(Expense_Input!E355="","",Expense_Input!E355)</f>
        <v/>
      </c>
      <c r="G355" t="str">
        <f>IF(Expense_Input!H355="","",Expense_Input!H355)</f>
        <v/>
      </c>
      <c r="H355" t="str">
        <f>IF(Expense_Input!I355="","Auto",Expense_Input!I355)</f>
        <v>Auto</v>
      </c>
      <c r="I355" t="str">
        <f>IF(F355="","",IFERROR(VLOOKUP(F355,Sales_Tax_Settings!$A$15:$B$27,2,FALSE),"Tax Unknown"))</f>
        <v/>
      </c>
      <c r="J355" t="str">
        <f t="shared" si="36"/>
        <v/>
      </c>
      <c r="K355" t="str">
        <f>IF(AND(Sales_Tax_Settings!$B$5="Yes",G355="Personal Expense",J355="Taxable"),"Yes","No")</f>
        <v>No</v>
      </c>
      <c r="L355" s="4">
        <f t="shared" si="37"/>
        <v>0</v>
      </c>
      <c r="M355" s="4">
        <f t="shared" si="38"/>
        <v>0</v>
      </c>
      <c r="N355" s="4">
        <f t="shared" si="39"/>
        <v>0</v>
      </c>
      <c r="O355" s="4">
        <f t="shared" si="40"/>
        <v>0</v>
      </c>
      <c r="P355" s="4">
        <f>IF(K355&lt;&gt;"Yes",0,IF(Sales_Tax_Settings!$B$6="Yes",E355/(1+Sales_Tax_Settings!$B$10),E355))</f>
        <v>0</v>
      </c>
      <c r="Q355" s="4">
        <f>IF(K355&lt;&gt;"Yes",0,P355*Sales_Tax_Settings!$B$8)</f>
        <v>0</v>
      </c>
      <c r="R355" s="4">
        <f>IF(K355&lt;&gt;"Yes",0,P355*Sales_Tax_Settings!$B$9)</f>
        <v>0</v>
      </c>
      <c r="S355" s="4">
        <f t="shared" si="41"/>
        <v>0</v>
      </c>
    </row>
    <row r="356" spans="1:19" x14ac:dyDescent="0.3">
      <c r="A356" t="str">
        <f>IF(Expense_Input!A356="","",Expense_Input!A356)</f>
        <v/>
      </c>
      <c r="B356" t="str">
        <f>IF(Expense_Input!B356="","",Expense_Input!B356)</f>
        <v/>
      </c>
      <c r="C356" t="str">
        <f t="shared" si="35"/>
        <v/>
      </c>
      <c r="D356" t="str">
        <f>IF(Expense_Input!C356="","",Expense_Input!C356)</f>
        <v/>
      </c>
      <c r="E356" s="4" t="str">
        <f>IF(Expense_Input!D356="","",Expense_Input!D356)</f>
        <v/>
      </c>
      <c r="F356" t="str">
        <f>IF(Expense_Input!E356="","",Expense_Input!E356)</f>
        <v/>
      </c>
      <c r="G356" t="str">
        <f>IF(Expense_Input!H356="","",Expense_Input!H356)</f>
        <v/>
      </c>
      <c r="H356" t="str">
        <f>IF(Expense_Input!I356="","Auto",Expense_Input!I356)</f>
        <v>Auto</v>
      </c>
      <c r="I356" t="str">
        <f>IF(F356="","",IFERROR(VLOOKUP(F356,Sales_Tax_Settings!$A$15:$B$27,2,FALSE),"Tax Unknown"))</f>
        <v/>
      </c>
      <c r="J356" t="str">
        <f t="shared" si="36"/>
        <v/>
      </c>
      <c r="K356" t="str">
        <f>IF(AND(Sales_Tax_Settings!$B$5="Yes",G356="Personal Expense",J356="Taxable"),"Yes","No")</f>
        <v>No</v>
      </c>
      <c r="L356" s="4">
        <f t="shared" si="37"/>
        <v>0</v>
      </c>
      <c r="M356" s="4">
        <f t="shared" si="38"/>
        <v>0</v>
      </c>
      <c r="N356" s="4">
        <f t="shared" si="39"/>
        <v>0</v>
      </c>
      <c r="O356" s="4">
        <f t="shared" si="40"/>
        <v>0</v>
      </c>
      <c r="P356" s="4">
        <f>IF(K356&lt;&gt;"Yes",0,IF(Sales_Tax_Settings!$B$6="Yes",E356/(1+Sales_Tax_Settings!$B$10),E356))</f>
        <v>0</v>
      </c>
      <c r="Q356" s="4">
        <f>IF(K356&lt;&gt;"Yes",0,P356*Sales_Tax_Settings!$B$8)</f>
        <v>0</v>
      </c>
      <c r="R356" s="4">
        <f>IF(K356&lt;&gt;"Yes",0,P356*Sales_Tax_Settings!$B$9)</f>
        <v>0</v>
      </c>
      <c r="S356" s="4">
        <f t="shared" si="41"/>
        <v>0</v>
      </c>
    </row>
    <row r="357" spans="1:19" x14ac:dyDescent="0.3">
      <c r="A357" t="str">
        <f>IF(Expense_Input!A357="","",Expense_Input!A357)</f>
        <v/>
      </c>
      <c r="B357" t="str">
        <f>IF(Expense_Input!B357="","",Expense_Input!B357)</f>
        <v/>
      </c>
      <c r="C357" t="str">
        <f t="shared" si="35"/>
        <v/>
      </c>
      <c r="D357" t="str">
        <f>IF(Expense_Input!C357="","",Expense_Input!C357)</f>
        <v/>
      </c>
      <c r="E357" s="4" t="str">
        <f>IF(Expense_Input!D357="","",Expense_Input!D357)</f>
        <v/>
      </c>
      <c r="F357" t="str">
        <f>IF(Expense_Input!E357="","",Expense_Input!E357)</f>
        <v/>
      </c>
      <c r="G357" t="str">
        <f>IF(Expense_Input!H357="","",Expense_Input!H357)</f>
        <v/>
      </c>
      <c r="H357" t="str">
        <f>IF(Expense_Input!I357="","Auto",Expense_Input!I357)</f>
        <v>Auto</v>
      </c>
      <c r="I357" t="str">
        <f>IF(F357="","",IFERROR(VLOOKUP(F357,Sales_Tax_Settings!$A$15:$B$27,2,FALSE),"Tax Unknown"))</f>
        <v/>
      </c>
      <c r="J357" t="str">
        <f t="shared" si="36"/>
        <v/>
      </c>
      <c r="K357" t="str">
        <f>IF(AND(Sales_Tax_Settings!$B$5="Yes",G357="Personal Expense",J357="Taxable"),"Yes","No")</f>
        <v>No</v>
      </c>
      <c r="L357" s="4">
        <f t="shared" si="37"/>
        <v>0</v>
      </c>
      <c r="M357" s="4">
        <f t="shared" si="38"/>
        <v>0</v>
      </c>
      <c r="N357" s="4">
        <f t="shared" si="39"/>
        <v>0</v>
      </c>
      <c r="O357" s="4">
        <f t="shared" si="40"/>
        <v>0</v>
      </c>
      <c r="P357" s="4">
        <f>IF(K357&lt;&gt;"Yes",0,IF(Sales_Tax_Settings!$B$6="Yes",E357/(1+Sales_Tax_Settings!$B$10),E357))</f>
        <v>0</v>
      </c>
      <c r="Q357" s="4">
        <f>IF(K357&lt;&gt;"Yes",0,P357*Sales_Tax_Settings!$B$8)</f>
        <v>0</v>
      </c>
      <c r="R357" s="4">
        <f>IF(K357&lt;&gt;"Yes",0,P357*Sales_Tax_Settings!$B$9)</f>
        <v>0</v>
      </c>
      <c r="S357" s="4">
        <f t="shared" si="41"/>
        <v>0</v>
      </c>
    </row>
    <row r="358" spans="1:19" x14ac:dyDescent="0.3">
      <c r="A358" t="str">
        <f>IF(Expense_Input!A358="","",Expense_Input!A358)</f>
        <v/>
      </c>
      <c r="B358" t="str">
        <f>IF(Expense_Input!B358="","",Expense_Input!B358)</f>
        <v/>
      </c>
      <c r="C358" t="str">
        <f t="shared" si="35"/>
        <v/>
      </c>
      <c r="D358" t="str">
        <f>IF(Expense_Input!C358="","",Expense_Input!C358)</f>
        <v/>
      </c>
      <c r="E358" s="4" t="str">
        <f>IF(Expense_Input!D358="","",Expense_Input!D358)</f>
        <v/>
      </c>
      <c r="F358" t="str">
        <f>IF(Expense_Input!E358="","",Expense_Input!E358)</f>
        <v/>
      </c>
      <c r="G358" t="str">
        <f>IF(Expense_Input!H358="","",Expense_Input!H358)</f>
        <v/>
      </c>
      <c r="H358" t="str">
        <f>IF(Expense_Input!I358="","Auto",Expense_Input!I358)</f>
        <v>Auto</v>
      </c>
      <c r="I358" t="str">
        <f>IF(F358="","",IFERROR(VLOOKUP(F358,Sales_Tax_Settings!$A$15:$B$27,2,FALSE),"Tax Unknown"))</f>
        <v/>
      </c>
      <c r="J358" t="str">
        <f t="shared" si="36"/>
        <v/>
      </c>
      <c r="K358" t="str">
        <f>IF(AND(Sales_Tax_Settings!$B$5="Yes",G358="Personal Expense",J358="Taxable"),"Yes","No")</f>
        <v>No</v>
      </c>
      <c r="L358" s="4">
        <f t="shared" si="37"/>
        <v>0</v>
      </c>
      <c r="M358" s="4">
        <f t="shared" si="38"/>
        <v>0</v>
      </c>
      <c r="N358" s="4">
        <f t="shared" si="39"/>
        <v>0</v>
      </c>
      <c r="O358" s="4">
        <f t="shared" si="40"/>
        <v>0</v>
      </c>
      <c r="P358" s="4">
        <f>IF(K358&lt;&gt;"Yes",0,IF(Sales_Tax_Settings!$B$6="Yes",E358/(1+Sales_Tax_Settings!$B$10),E358))</f>
        <v>0</v>
      </c>
      <c r="Q358" s="4">
        <f>IF(K358&lt;&gt;"Yes",0,P358*Sales_Tax_Settings!$B$8)</f>
        <v>0</v>
      </c>
      <c r="R358" s="4">
        <f>IF(K358&lt;&gt;"Yes",0,P358*Sales_Tax_Settings!$B$9)</f>
        <v>0</v>
      </c>
      <c r="S358" s="4">
        <f t="shared" si="41"/>
        <v>0</v>
      </c>
    </row>
    <row r="359" spans="1:19" x14ac:dyDescent="0.3">
      <c r="A359" t="str">
        <f>IF(Expense_Input!A359="","",Expense_Input!A359)</f>
        <v/>
      </c>
      <c r="B359" t="str">
        <f>IF(Expense_Input!B359="","",Expense_Input!B359)</f>
        <v/>
      </c>
      <c r="C359" t="str">
        <f t="shared" si="35"/>
        <v/>
      </c>
      <c r="D359" t="str">
        <f>IF(Expense_Input!C359="","",Expense_Input!C359)</f>
        <v/>
      </c>
      <c r="E359" s="4" t="str">
        <f>IF(Expense_Input!D359="","",Expense_Input!D359)</f>
        <v/>
      </c>
      <c r="F359" t="str">
        <f>IF(Expense_Input!E359="","",Expense_Input!E359)</f>
        <v/>
      </c>
      <c r="G359" t="str">
        <f>IF(Expense_Input!H359="","",Expense_Input!H359)</f>
        <v/>
      </c>
      <c r="H359" t="str">
        <f>IF(Expense_Input!I359="","Auto",Expense_Input!I359)</f>
        <v>Auto</v>
      </c>
      <c r="I359" t="str">
        <f>IF(F359="","",IFERROR(VLOOKUP(F359,Sales_Tax_Settings!$A$15:$B$27,2,FALSE),"Tax Unknown"))</f>
        <v/>
      </c>
      <c r="J359" t="str">
        <f t="shared" si="36"/>
        <v/>
      </c>
      <c r="K359" t="str">
        <f>IF(AND(Sales_Tax_Settings!$B$5="Yes",G359="Personal Expense",J359="Taxable"),"Yes","No")</f>
        <v>No</v>
      </c>
      <c r="L359" s="4">
        <f t="shared" si="37"/>
        <v>0</v>
      </c>
      <c r="M359" s="4">
        <f t="shared" si="38"/>
        <v>0</v>
      </c>
      <c r="N359" s="4">
        <f t="shared" si="39"/>
        <v>0</v>
      </c>
      <c r="O359" s="4">
        <f t="shared" si="40"/>
        <v>0</v>
      </c>
      <c r="P359" s="4">
        <f>IF(K359&lt;&gt;"Yes",0,IF(Sales_Tax_Settings!$B$6="Yes",E359/(1+Sales_Tax_Settings!$B$10),E359))</f>
        <v>0</v>
      </c>
      <c r="Q359" s="4">
        <f>IF(K359&lt;&gt;"Yes",0,P359*Sales_Tax_Settings!$B$8)</f>
        <v>0</v>
      </c>
      <c r="R359" s="4">
        <f>IF(K359&lt;&gt;"Yes",0,P359*Sales_Tax_Settings!$B$9)</f>
        <v>0</v>
      </c>
      <c r="S359" s="4">
        <f t="shared" si="41"/>
        <v>0</v>
      </c>
    </row>
    <row r="360" spans="1:19" x14ac:dyDescent="0.3">
      <c r="A360" t="str">
        <f>IF(Expense_Input!A360="","",Expense_Input!A360)</f>
        <v/>
      </c>
      <c r="B360" t="str">
        <f>IF(Expense_Input!B360="","",Expense_Input!B360)</f>
        <v/>
      </c>
      <c r="C360" t="str">
        <f t="shared" si="35"/>
        <v/>
      </c>
      <c r="D360" t="str">
        <f>IF(Expense_Input!C360="","",Expense_Input!C360)</f>
        <v/>
      </c>
      <c r="E360" s="4" t="str">
        <f>IF(Expense_Input!D360="","",Expense_Input!D360)</f>
        <v/>
      </c>
      <c r="F360" t="str">
        <f>IF(Expense_Input!E360="","",Expense_Input!E360)</f>
        <v/>
      </c>
      <c r="G360" t="str">
        <f>IF(Expense_Input!H360="","",Expense_Input!H360)</f>
        <v/>
      </c>
      <c r="H360" t="str">
        <f>IF(Expense_Input!I360="","Auto",Expense_Input!I360)</f>
        <v>Auto</v>
      </c>
      <c r="I360" t="str">
        <f>IF(F360="","",IFERROR(VLOOKUP(F360,Sales_Tax_Settings!$A$15:$B$27,2,FALSE),"Tax Unknown"))</f>
        <v/>
      </c>
      <c r="J360" t="str">
        <f t="shared" si="36"/>
        <v/>
      </c>
      <c r="K360" t="str">
        <f>IF(AND(Sales_Tax_Settings!$B$5="Yes",G360="Personal Expense",J360="Taxable"),"Yes","No")</f>
        <v>No</v>
      </c>
      <c r="L360" s="4">
        <f t="shared" si="37"/>
        <v>0</v>
      </c>
      <c r="M360" s="4">
        <f t="shared" si="38"/>
        <v>0</v>
      </c>
      <c r="N360" s="4">
        <f t="shared" si="39"/>
        <v>0</v>
      </c>
      <c r="O360" s="4">
        <f t="shared" si="40"/>
        <v>0</v>
      </c>
      <c r="P360" s="4">
        <f>IF(K360&lt;&gt;"Yes",0,IF(Sales_Tax_Settings!$B$6="Yes",E360/(1+Sales_Tax_Settings!$B$10),E360))</f>
        <v>0</v>
      </c>
      <c r="Q360" s="4">
        <f>IF(K360&lt;&gt;"Yes",0,P360*Sales_Tax_Settings!$B$8)</f>
        <v>0</v>
      </c>
      <c r="R360" s="4">
        <f>IF(K360&lt;&gt;"Yes",0,P360*Sales_Tax_Settings!$B$9)</f>
        <v>0</v>
      </c>
      <c r="S360" s="4">
        <f t="shared" si="41"/>
        <v>0</v>
      </c>
    </row>
    <row r="361" spans="1:19" x14ac:dyDescent="0.3">
      <c r="A361" t="str">
        <f>IF(Expense_Input!A361="","",Expense_Input!A361)</f>
        <v/>
      </c>
      <c r="B361" t="str">
        <f>IF(Expense_Input!B361="","",Expense_Input!B361)</f>
        <v/>
      </c>
      <c r="C361" t="str">
        <f t="shared" si="35"/>
        <v/>
      </c>
      <c r="D361" t="str">
        <f>IF(Expense_Input!C361="","",Expense_Input!C361)</f>
        <v/>
      </c>
      <c r="E361" s="4" t="str">
        <f>IF(Expense_Input!D361="","",Expense_Input!D361)</f>
        <v/>
      </c>
      <c r="F361" t="str">
        <f>IF(Expense_Input!E361="","",Expense_Input!E361)</f>
        <v/>
      </c>
      <c r="G361" t="str">
        <f>IF(Expense_Input!H361="","",Expense_Input!H361)</f>
        <v/>
      </c>
      <c r="H361" t="str">
        <f>IF(Expense_Input!I361="","Auto",Expense_Input!I361)</f>
        <v>Auto</v>
      </c>
      <c r="I361" t="str">
        <f>IF(F361="","",IFERROR(VLOOKUP(F361,Sales_Tax_Settings!$A$15:$B$27,2,FALSE),"Tax Unknown"))</f>
        <v/>
      </c>
      <c r="J361" t="str">
        <f t="shared" si="36"/>
        <v/>
      </c>
      <c r="K361" t="str">
        <f>IF(AND(Sales_Tax_Settings!$B$5="Yes",G361="Personal Expense",J361="Taxable"),"Yes","No")</f>
        <v>No</v>
      </c>
      <c r="L361" s="4">
        <f t="shared" si="37"/>
        <v>0</v>
      </c>
      <c r="M361" s="4">
        <f t="shared" si="38"/>
        <v>0</v>
      </c>
      <c r="N361" s="4">
        <f t="shared" si="39"/>
        <v>0</v>
      </c>
      <c r="O361" s="4">
        <f t="shared" si="40"/>
        <v>0</v>
      </c>
      <c r="P361" s="4">
        <f>IF(K361&lt;&gt;"Yes",0,IF(Sales_Tax_Settings!$B$6="Yes",E361/(1+Sales_Tax_Settings!$B$10),E361))</f>
        <v>0</v>
      </c>
      <c r="Q361" s="4">
        <f>IF(K361&lt;&gt;"Yes",0,P361*Sales_Tax_Settings!$B$8)</f>
        <v>0</v>
      </c>
      <c r="R361" s="4">
        <f>IF(K361&lt;&gt;"Yes",0,P361*Sales_Tax_Settings!$B$9)</f>
        <v>0</v>
      </c>
      <c r="S361" s="4">
        <f t="shared" si="41"/>
        <v>0</v>
      </c>
    </row>
    <row r="362" spans="1:19" x14ac:dyDescent="0.3">
      <c r="A362" t="str">
        <f>IF(Expense_Input!A362="","",Expense_Input!A362)</f>
        <v/>
      </c>
      <c r="B362" t="str">
        <f>IF(Expense_Input!B362="","",Expense_Input!B362)</f>
        <v/>
      </c>
      <c r="C362" t="str">
        <f t="shared" si="35"/>
        <v/>
      </c>
      <c r="D362" t="str">
        <f>IF(Expense_Input!C362="","",Expense_Input!C362)</f>
        <v/>
      </c>
      <c r="E362" s="4" t="str">
        <f>IF(Expense_Input!D362="","",Expense_Input!D362)</f>
        <v/>
      </c>
      <c r="F362" t="str">
        <f>IF(Expense_Input!E362="","",Expense_Input!E362)</f>
        <v/>
      </c>
      <c r="G362" t="str">
        <f>IF(Expense_Input!H362="","",Expense_Input!H362)</f>
        <v/>
      </c>
      <c r="H362" t="str">
        <f>IF(Expense_Input!I362="","Auto",Expense_Input!I362)</f>
        <v>Auto</v>
      </c>
      <c r="I362" t="str">
        <f>IF(F362="","",IFERROR(VLOOKUP(F362,Sales_Tax_Settings!$A$15:$B$27,2,FALSE),"Tax Unknown"))</f>
        <v/>
      </c>
      <c r="J362" t="str">
        <f t="shared" si="36"/>
        <v/>
      </c>
      <c r="K362" t="str">
        <f>IF(AND(Sales_Tax_Settings!$B$5="Yes",G362="Personal Expense",J362="Taxable"),"Yes","No")</f>
        <v>No</v>
      </c>
      <c r="L362" s="4">
        <f t="shared" si="37"/>
        <v>0</v>
      </c>
      <c r="M362" s="4">
        <f t="shared" si="38"/>
        <v>0</v>
      </c>
      <c r="N362" s="4">
        <f t="shared" si="39"/>
        <v>0</v>
      </c>
      <c r="O362" s="4">
        <f t="shared" si="40"/>
        <v>0</v>
      </c>
      <c r="P362" s="4">
        <f>IF(K362&lt;&gt;"Yes",0,IF(Sales_Tax_Settings!$B$6="Yes",E362/(1+Sales_Tax_Settings!$B$10),E362))</f>
        <v>0</v>
      </c>
      <c r="Q362" s="4">
        <f>IF(K362&lt;&gt;"Yes",0,P362*Sales_Tax_Settings!$B$8)</f>
        <v>0</v>
      </c>
      <c r="R362" s="4">
        <f>IF(K362&lt;&gt;"Yes",0,P362*Sales_Tax_Settings!$B$9)</f>
        <v>0</v>
      </c>
      <c r="S362" s="4">
        <f t="shared" si="41"/>
        <v>0</v>
      </c>
    </row>
    <row r="363" spans="1:19" x14ac:dyDescent="0.3">
      <c r="A363" t="str">
        <f>IF(Expense_Input!A363="","",Expense_Input!A363)</f>
        <v/>
      </c>
      <c r="B363" t="str">
        <f>IF(Expense_Input!B363="","",Expense_Input!B363)</f>
        <v/>
      </c>
      <c r="C363" t="str">
        <f t="shared" si="35"/>
        <v/>
      </c>
      <c r="D363" t="str">
        <f>IF(Expense_Input!C363="","",Expense_Input!C363)</f>
        <v/>
      </c>
      <c r="E363" s="4" t="str">
        <f>IF(Expense_Input!D363="","",Expense_Input!D363)</f>
        <v/>
      </c>
      <c r="F363" t="str">
        <f>IF(Expense_Input!E363="","",Expense_Input!E363)</f>
        <v/>
      </c>
      <c r="G363" t="str">
        <f>IF(Expense_Input!H363="","",Expense_Input!H363)</f>
        <v/>
      </c>
      <c r="H363" t="str">
        <f>IF(Expense_Input!I363="","Auto",Expense_Input!I363)</f>
        <v>Auto</v>
      </c>
      <c r="I363" t="str">
        <f>IF(F363="","",IFERROR(VLOOKUP(F363,Sales_Tax_Settings!$A$15:$B$27,2,FALSE),"Tax Unknown"))</f>
        <v/>
      </c>
      <c r="J363" t="str">
        <f t="shared" si="36"/>
        <v/>
      </c>
      <c r="K363" t="str">
        <f>IF(AND(Sales_Tax_Settings!$B$5="Yes",G363="Personal Expense",J363="Taxable"),"Yes","No")</f>
        <v>No</v>
      </c>
      <c r="L363" s="4">
        <f t="shared" si="37"/>
        <v>0</v>
      </c>
      <c r="M363" s="4">
        <f t="shared" si="38"/>
        <v>0</v>
      </c>
      <c r="N363" s="4">
        <f t="shared" si="39"/>
        <v>0</v>
      </c>
      <c r="O363" s="4">
        <f t="shared" si="40"/>
        <v>0</v>
      </c>
      <c r="P363" s="4">
        <f>IF(K363&lt;&gt;"Yes",0,IF(Sales_Tax_Settings!$B$6="Yes",E363/(1+Sales_Tax_Settings!$B$10),E363))</f>
        <v>0</v>
      </c>
      <c r="Q363" s="4">
        <f>IF(K363&lt;&gt;"Yes",0,P363*Sales_Tax_Settings!$B$8)</f>
        <v>0</v>
      </c>
      <c r="R363" s="4">
        <f>IF(K363&lt;&gt;"Yes",0,P363*Sales_Tax_Settings!$B$9)</f>
        <v>0</v>
      </c>
      <c r="S363" s="4">
        <f t="shared" si="41"/>
        <v>0</v>
      </c>
    </row>
    <row r="364" spans="1:19" x14ac:dyDescent="0.3">
      <c r="A364" t="str">
        <f>IF(Expense_Input!A364="","",Expense_Input!A364)</f>
        <v/>
      </c>
      <c r="B364" t="str">
        <f>IF(Expense_Input!B364="","",Expense_Input!B364)</f>
        <v/>
      </c>
      <c r="C364" t="str">
        <f t="shared" si="35"/>
        <v/>
      </c>
      <c r="D364" t="str">
        <f>IF(Expense_Input!C364="","",Expense_Input!C364)</f>
        <v/>
      </c>
      <c r="E364" s="4" t="str">
        <f>IF(Expense_Input!D364="","",Expense_Input!D364)</f>
        <v/>
      </c>
      <c r="F364" t="str">
        <f>IF(Expense_Input!E364="","",Expense_Input!E364)</f>
        <v/>
      </c>
      <c r="G364" t="str">
        <f>IF(Expense_Input!H364="","",Expense_Input!H364)</f>
        <v/>
      </c>
      <c r="H364" t="str">
        <f>IF(Expense_Input!I364="","Auto",Expense_Input!I364)</f>
        <v>Auto</v>
      </c>
      <c r="I364" t="str">
        <f>IF(F364="","",IFERROR(VLOOKUP(F364,Sales_Tax_Settings!$A$15:$B$27,2,FALSE),"Tax Unknown"))</f>
        <v/>
      </c>
      <c r="J364" t="str">
        <f t="shared" si="36"/>
        <v/>
      </c>
      <c r="K364" t="str">
        <f>IF(AND(Sales_Tax_Settings!$B$5="Yes",G364="Personal Expense",J364="Taxable"),"Yes","No")</f>
        <v>No</v>
      </c>
      <c r="L364" s="4">
        <f t="shared" si="37"/>
        <v>0</v>
      </c>
      <c r="M364" s="4">
        <f t="shared" si="38"/>
        <v>0</v>
      </c>
      <c r="N364" s="4">
        <f t="shared" si="39"/>
        <v>0</v>
      </c>
      <c r="O364" s="4">
        <f t="shared" si="40"/>
        <v>0</v>
      </c>
      <c r="P364" s="4">
        <f>IF(K364&lt;&gt;"Yes",0,IF(Sales_Tax_Settings!$B$6="Yes",E364/(1+Sales_Tax_Settings!$B$10),E364))</f>
        <v>0</v>
      </c>
      <c r="Q364" s="4">
        <f>IF(K364&lt;&gt;"Yes",0,P364*Sales_Tax_Settings!$B$8)</f>
        <v>0</v>
      </c>
      <c r="R364" s="4">
        <f>IF(K364&lt;&gt;"Yes",0,P364*Sales_Tax_Settings!$B$9)</f>
        <v>0</v>
      </c>
      <c r="S364" s="4">
        <f t="shared" si="41"/>
        <v>0</v>
      </c>
    </row>
    <row r="365" spans="1:19" x14ac:dyDescent="0.3">
      <c r="A365" t="str">
        <f>IF(Expense_Input!A365="","",Expense_Input!A365)</f>
        <v/>
      </c>
      <c r="B365" t="str">
        <f>IF(Expense_Input!B365="","",Expense_Input!B365)</f>
        <v/>
      </c>
      <c r="C365" t="str">
        <f t="shared" si="35"/>
        <v/>
      </c>
      <c r="D365" t="str">
        <f>IF(Expense_Input!C365="","",Expense_Input!C365)</f>
        <v/>
      </c>
      <c r="E365" s="4" t="str">
        <f>IF(Expense_Input!D365="","",Expense_Input!D365)</f>
        <v/>
      </c>
      <c r="F365" t="str">
        <f>IF(Expense_Input!E365="","",Expense_Input!E365)</f>
        <v/>
      </c>
      <c r="G365" t="str">
        <f>IF(Expense_Input!H365="","",Expense_Input!H365)</f>
        <v/>
      </c>
      <c r="H365" t="str">
        <f>IF(Expense_Input!I365="","Auto",Expense_Input!I365)</f>
        <v>Auto</v>
      </c>
      <c r="I365" t="str">
        <f>IF(F365="","",IFERROR(VLOOKUP(F365,Sales_Tax_Settings!$A$15:$B$27,2,FALSE),"Tax Unknown"))</f>
        <v/>
      </c>
      <c r="J365" t="str">
        <f t="shared" si="36"/>
        <v/>
      </c>
      <c r="K365" t="str">
        <f>IF(AND(Sales_Tax_Settings!$B$5="Yes",G365="Personal Expense",J365="Taxable"),"Yes","No")</f>
        <v>No</v>
      </c>
      <c r="L365" s="4">
        <f t="shared" si="37"/>
        <v>0</v>
      </c>
      <c r="M365" s="4">
        <f t="shared" si="38"/>
        <v>0</v>
      </c>
      <c r="N365" s="4">
        <f t="shared" si="39"/>
        <v>0</v>
      </c>
      <c r="O365" s="4">
        <f t="shared" si="40"/>
        <v>0</v>
      </c>
      <c r="P365" s="4">
        <f>IF(K365&lt;&gt;"Yes",0,IF(Sales_Tax_Settings!$B$6="Yes",E365/(1+Sales_Tax_Settings!$B$10),E365))</f>
        <v>0</v>
      </c>
      <c r="Q365" s="4">
        <f>IF(K365&lt;&gt;"Yes",0,P365*Sales_Tax_Settings!$B$8)</f>
        <v>0</v>
      </c>
      <c r="R365" s="4">
        <f>IF(K365&lt;&gt;"Yes",0,P365*Sales_Tax_Settings!$B$9)</f>
        <v>0</v>
      </c>
      <c r="S365" s="4">
        <f t="shared" si="41"/>
        <v>0</v>
      </c>
    </row>
    <row r="366" spans="1:19" x14ac:dyDescent="0.3">
      <c r="A366" t="str">
        <f>IF(Expense_Input!A366="","",Expense_Input!A366)</f>
        <v/>
      </c>
      <c r="B366" t="str">
        <f>IF(Expense_Input!B366="","",Expense_Input!B366)</f>
        <v/>
      </c>
      <c r="C366" t="str">
        <f t="shared" si="35"/>
        <v/>
      </c>
      <c r="D366" t="str">
        <f>IF(Expense_Input!C366="","",Expense_Input!C366)</f>
        <v/>
      </c>
      <c r="E366" s="4" t="str">
        <f>IF(Expense_Input!D366="","",Expense_Input!D366)</f>
        <v/>
      </c>
      <c r="F366" t="str">
        <f>IF(Expense_Input!E366="","",Expense_Input!E366)</f>
        <v/>
      </c>
      <c r="G366" t="str">
        <f>IF(Expense_Input!H366="","",Expense_Input!H366)</f>
        <v/>
      </c>
      <c r="H366" t="str">
        <f>IF(Expense_Input!I366="","Auto",Expense_Input!I366)</f>
        <v>Auto</v>
      </c>
      <c r="I366" t="str">
        <f>IF(F366="","",IFERROR(VLOOKUP(F366,Sales_Tax_Settings!$A$15:$B$27,2,FALSE),"Tax Unknown"))</f>
        <v/>
      </c>
      <c r="J366" t="str">
        <f t="shared" si="36"/>
        <v/>
      </c>
      <c r="K366" t="str">
        <f>IF(AND(Sales_Tax_Settings!$B$5="Yes",G366="Personal Expense",J366="Taxable"),"Yes","No")</f>
        <v>No</v>
      </c>
      <c r="L366" s="4">
        <f t="shared" si="37"/>
        <v>0</v>
      </c>
      <c r="M366" s="4">
        <f t="shared" si="38"/>
        <v>0</v>
      </c>
      <c r="N366" s="4">
        <f t="shared" si="39"/>
        <v>0</v>
      </c>
      <c r="O366" s="4">
        <f t="shared" si="40"/>
        <v>0</v>
      </c>
      <c r="P366" s="4">
        <f>IF(K366&lt;&gt;"Yes",0,IF(Sales_Tax_Settings!$B$6="Yes",E366/(1+Sales_Tax_Settings!$B$10),E366))</f>
        <v>0</v>
      </c>
      <c r="Q366" s="4">
        <f>IF(K366&lt;&gt;"Yes",0,P366*Sales_Tax_Settings!$B$8)</f>
        <v>0</v>
      </c>
      <c r="R366" s="4">
        <f>IF(K366&lt;&gt;"Yes",0,P366*Sales_Tax_Settings!$B$9)</f>
        <v>0</v>
      </c>
      <c r="S366" s="4">
        <f t="shared" si="41"/>
        <v>0</v>
      </c>
    </row>
    <row r="367" spans="1:19" x14ac:dyDescent="0.3">
      <c r="A367" t="str">
        <f>IF(Expense_Input!A367="","",Expense_Input!A367)</f>
        <v/>
      </c>
      <c r="B367" t="str">
        <f>IF(Expense_Input!B367="","",Expense_Input!B367)</f>
        <v/>
      </c>
      <c r="C367" t="str">
        <f t="shared" si="35"/>
        <v/>
      </c>
      <c r="D367" t="str">
        <f>IF(Expense_Input!C367="","",Expense_Input!C367)</f>
        <v/>
      </c>
      <c r="E367" s="4" t="str">
        <f>IF(Expense_Input!D367="","",Expense_Input!D367)</f>
        <v/>
      </c>
      <c r="F367" t="str">
        <f>IF(Expense_Input!E367="","",Expense_Input!E367)</f>
        <v/>
      </c>
      <c r="G367" t="str">
        <f>IF(Expense_Input!H367="","",Expense_Input!H367)</f>
        <v/>
      </c>
      <c r="H367" t="str">
        <f>IF(Expense_Input!I367="","Auto",Expense_Input!I367)</f>
        <v>Auto</v>
      </c>
      <c r="I367" t="str">
        <f>IF(F367="","",IFERROR(VLOOKUP(F367,Sales_Tax_Settings!$A$15:$B$27,2,FALSE),"Tax Unknown"))</f>
        <v/>
      </c>
      <c r="J367" t="str">
        <f t="shared" si="36"/>
        <v/>
      </c>
      <c r="K367" t="str">
        <f>IF(AND(Sales_Tax_Settings!$B$5="Yes",G367="Personal Expense",J367="Taxable"),"Yes","No")</f>
        <v>No</v>
      </c>
      <c r="L367" s="4">
        <f t="shared" si="37"/>
        <v>0</v>
      </c>
      <c r="M367" s="4">
        <f t="shared" si="38"/>
        <v>0</v>
      </c>
      <c r="N367" s="4">
        <f t="shared" si="39"/>
        <v>0</v>
      </c>
      <c r="O367" s="4">
        <f t="shared" si="40"/>
        <v>0</v>
      </c>
      <c r="P367" s="4">
        <f>IF(K367&lt;&gt;"Yes",0,IF(Sales_Tax_Settings!$B$6="Yes",E367/(1+Sales_Tax_Settings!$B$10),E367))</f>
        <v>0</v>
      </c>
      <c r="Q367" s="4">
        <f>IF(K367&lt;&gt;"Yes",0,P367*Sales_Tax_Settings!$B$8)</f>
        <v>0</v>
      </c>
      <c r="R367" s="4">
        <f>IF(K367&lt;&gt;"Yes",0,P367*Sales_Tax_Settings!$B$9)</f>
        <v>0</v>
      </c>
      <c r="S367" s="4">
        <f t="shared" si="41"/>
        <v>0</v>
      </c>
    </row>
    <row r="368" spans="1:19" x14ac:dyDescent="0.3">
      <c r="A368" t="str">
        <f>IF(Expense_Input!A368="","",Expense_Input!A368)</f>
        <v/>
      </c>
      <c r="B368" t="str">
        <f>IF(Expense_Input!B368="","",Expense_Input!B368)</f>
        <v/>
      </c>
      <c r="C368" t="str">
        <f t="shared" si="35"/>
        <v/>
      </c>
      <c r="D368" t="str">
        <f>IF(Expense_Input!C368="","",Expense_Input!C368)</f>
        <v/>
      </c>
      <c r="E368" s="4" t="str">
        <f>IF(Expense_Input!D368="","",Expense_Input!D368)</f>
        <v/>
      </c>
      <c r="F368" t="str">
        <f>IF(Expense_Input!E368="","",Expense_Input!E368)</f>
        <v/>
      </c>
      <c r="G368" t="str">
        <f>IF(Expense_Input!H368="","",Expense_Input!H368)</f>
        <v/>
      </c>
      <c r="H368" t="str">
        <f>IF(Expense_Input!I368="","Auto",Expense_Input!I368)</f>
        <v>Auto</v>
      </c>
      <c r="I368" t="str">
        <f>IF(F368="","",IFERROR(VLOOKUP(F368,Sales_Tax_Settings!$A$15:$B$27,2,FALSE),"Tax Unknown"))</f>
        <v/>
      </c>
      <c r="J368" t="str">
        <f t="shared" si="36"/>
        <v/>
      </c>
      <c r="K368" t="str">
        <f>IF(AND(Sales_Tax_Settings!$B$5="Yes",G368="Personal Expense",J368="Taxable"),"Yes","No")</f>
        <v>No</v>
      </c>
      <c r="L368" s="4">
        <f t="shared" si="37"/>
        <v>0</v>
      </c>
      <c r="M368" s="4">
        <f t="shared" si="38"/>
        <v>0</v>
      </c>
      <c r="N368" s="4">
        <f t="shared" si="39"/>
        <v>0</v>
      </c>
      <c r="O368" s="4">
        <f t="shared" si="40"/>
        <v>0</v>
      </c>
      <c r="P368" s="4">
        <f>IF(K368&lt;&gt;"Yes",0,IF(Sales_Tax_Settings!$B$6="Yes",E368/(1+Sales_Tax_Settings!$B$10),E368))</f>
        <v>0</v>
      </c>
      <c r="Q368" s="4">
        <f>IF(K368&lt;&gt;"Yes",0,P368*Sales_Tax_Settings!$B$8)</f>
        <v>0</v>
      </c>
      <c r="R368" s="4">
        <f>IF(K368&lt;&gt;"Yes",0,P368*Sales_Tax_Settings!$B$9)</f>
        <v>0</v>
      </c>
      <c r="S368" s="4">
        <f t="shared" si="41"/>
        <v>0</v>
      </c>
    </row>
    <row r="369" spans="1:19" x14ac:dyDescent="0.3">
      <c r="A369" t="str">
        <f>IF(Expense_Input!A369="","",Expense_Input!A369)</f>
        <v/>
      </c>
      <c r="B369" t="str">
        <f>IF(Expense_Input!B369="","",Expense_Input!B369)</f>
        <v/>
      </c>
      <c r="C369" t="str">
        <f t="shared" si="35"/>
        <v/>
      </c>
      <c r="D369" t="str">
        <f>IF(Expense_Input!C369="","",Expense_Input!C369)</f>
        <v/>
      </c>
      <c r="E369" s="4" t="str">
        <f>IF(Expense_Input!D369="","",Expense_Input!D369)</f>
        <v/>
      </c>
      <c r="F369" t="str">
        <f>IF(Expense_Input!E369="","",Expense_Input!E369)</f>
        <v/>
      </c>
      <c r="G369" t="str">
        <f>IF(Expense_Input!H369="","",Expense_Input!H369)</f>
        <v/>
      </c>
      <c r="H369" t="str">
        <f>IF(Expense_Input!I369="","Auto",Expense_Input!I369)</f>
        <v>Auto</v>
      </c>
      <c r="I369" t="str">
        <f>IF(F369="","",IFERROR(VLOOKUP(F369,Sales_Tax_Settings!$A$15:$B$27,2,FALSE),"Tax Unknown"))</f>
        <v/>
      </c>
      <c r="J369" t="str">
        <f t="shared" si="36"/>
        <v/>
      </c>
      <c r="K369" t="str">
        <f>IF(AND(Sales_Tax_Settings!$B$5="Yes",G369="Personal Expense",J369="Taxable"),"Yes","No")</f>
        <v>No</v>
      </c>
      <c r="L369" s="4">
        <f t="shared" si="37"/>
        <v>0</v>
      </c>
      <c r="M369" s="4">
        <f t="shared" si="38"/>
        <v>0</v>
      </c>
      <c r="N369" s="4">
        <f t="shared" si="39"/>
        <v>0</v>
      </c>
      <c r="O369" s="4">
        <f t="shared" si="40"/>
        <v>0</v>
      </c>
      <c r="P369" s="4">
        <f>IF(K369&lt;&gt;"Yes",0,IF(Sales_Tax_Settings!$B$6="Yes",E369/(1+Sales_Tax_Settings!$B$10),E369))</f>
        <v>0</v>
      </c>
      <c r="Q369" s="4">
        <f>IF(K369&lt;&gt;"Yes",0,P369*Sales_Tax_Settings!$B$8)</f>
        <v>0</v>
      </c>
      <c r="R369" s="4">
        <f>IF(K369&lt;&gt;"Yes",0,P369*Sales_Tax_Settings!$B$9)</f>
        <v>0</v>
      </c>
      <c r="S369" s="4">
        <f t="shared" si="41"/>
        <v>0</v>
      </c>
    </row>
    <row r="370" spans="1:19" x14ac:dyDescent="0.3">
      <c r="A370" t="str">
        <f>IF(Expense_Input!A370="","",Expense_Input!A370)</f>
        <v/>
      </c>
      <c r="B370" t="str">
        <f>IF(Expense_Input!B370="","",Expense_Input!B370)</f>
        <v/>
      </c>
      <c r="C370" t="str">
        <f t="shared" si="35"/>
        <v/>
      </c>
      <c r="D370" t="str">
        <f>IF(Expense_Input!C370="","",Expense_Input!C370)</f>
        <v/>
      </c>
      <c r="E370" s="4" t="str">
        <f>IF(Expense_Input!D370="","",Expense_Input!D370)</f>
        <v/>
      </c>
      <c r="F370" t="str">
        <f>IF(Expense_Input!E370="","",Expense_Input!E370)</f>
        <v/>
      </c>
      <c r="G370" t="str">
        <f>IF(Expense_Input!H370="","",Expense_Input!H370)</f>
        <v/>
      </c>
      <c r="H370" t="str">
        <f>IF(Expense_Input!I370="","Auto",Expense_Input!I370)</f>
        <v>Auto</v>
      </c>
      <c r="I370" t="str">
        <f>IF(F370="","",IFERROR(VLOOKUP(F370,Sales_Tax_Settings!$A$15:$B$27,2,FALSE),"Tax Unknown"))</f>
        <v/>
      </c>
      <c r="J370" t="str">
        <f t="shared" si="36"/>
        <v/>
      </c>
      <c r="K370" t="str">
        <f>IF(AND(Sales_Tax_Settings!$B$5="Yes",G370="Personal Expense",J370="Taxable"),"Yes","No")</f>
        <v>No</v>
      </c>
      <c r="L370" s="4">
        <f t="shared" si="37"/>
        <v>0</v>
      </c>
      <c r="M370" s="4">
        <f t="shared" si="38"/>
        <v>0</v>
      </c>
      <c r="N370" s="4">
        <f t="shared" si="39"/>
        <v>0</v>
      </c>
      <c r="O370" s="4">
        <f t="shared" si="40"/>
        <v>0</v>
      </c>
      <c r="P370" s="4">
        <f>IF(K370&lt;&gt;"Yes",0,IF(Sales_Tax_Settings!$B$6="Yes",E370/(1+Sales_Tax_Settings!$B$10),E370))</f>
        <v>0</v>
      </c>
      <c r="Q370" s="4">
        <f>IF(K370&lt;&gt;"Yes",0,P370*Sales_Tax_Settings!$B$8)</f>
        <v>0</v>
      </c>
      <c r="R370" s="4">
        <f>IF(K370&lt;&gt;"Yes",0,P370*Sales_Tax_Settings!$B$9)</f>
        <v>0</v>
      </c>
      <c r="S370" s="4">
        <f t="shared" si="41"/>
        <v>0</v>
      </c>
    </row>
    <row r="371" spans="1:19" x14ac:dyDescent="0.3">
      <c r="A371" t="str">
        <f>IF(Expense_Input!A371="","",Expense_Input!A371)</f>
        <v/>
      </c>
      <c r="B371" t="str">
        <f>IF(Expense_Input!B371="","",Expense_Input!B371)</f>
        <v/>
      </c>
      <c r="C371" t="str">
        <f t="shared" si="35"/>
        <v/>
      </c>
      <c r="D371" t="str">
        <f>IF(Expense_Input!C371="","",Expense_Input!C371)</f>
        <v/>
      </c>
      <c r="E371" s="4" t="str">
        <f>IF(Expense_Input!D371="","",Expense_Input!D371)</f>
        <v/>
      </c>
      <c r="F371" t="str">
        <f>IF(Expense_Input!E371="","",Expense_Input!E371)</f>
        <v/>
      </c>
      <c r="G371" t="str">
        <f>IF(Expense_Input!H371="","",Expense_Input!H371)</f>
        <v/>
      </c>
      <c r="H371" t="str">
        <f>IF(Expense_Input!I371="","Auto",Expense_Input!I371)</f>
        <v>Auto</v>
      </c>
      <c r="I371" t="str">
        <f>IF(F371="","",IFERROR(VLOOKUP(F371,Sales_Tax_Settings!$A$15:$B$27,2,FALSE),"Tax Unknown"))</f>
        <v/>
      </c>
      <c r="J371" t="str">
        <f t="shared" si="36"/>
        <v/>
      </c>
      <c r="K371" t="str">
        <f>IF(AND(Sales_Tax_Settings!$B$5="Yes",G371="Personal Expense",J371="Taxable"),"Yes","No")</f>
        <v>No</v>
      </c>
      <c r="L371" s="4">
        <f t="shared" si="37"/>
        <v>0</v>
      </c>
      <c r="M371" s="4">
        <f t="shared" si="38"/>
        <v>0</v>
      </c>
      <c r="N371" s="4">
        <f t="shared" si="39"/>
        <v>0</v>
      </c>
      <c r="O371" s="4">
        <f t="shared" si="40"/>
        <v>0</v>
      </c>
      <c r="P371" s="4">
        <f>IF(K371&lt;&gt;"Yes",0,IF(Sales_Tax_Settings!$B$6="Yes",E371/(1+Sales_Tax_Settings!$B$10),E371))</f>
        <v>0</v>
      </c>
      <c r="Q371" s="4">
        <f>IF(K371&lt;&gt;"Yes",0,P371*Sales_Tax_Settings!$B$8)</f>
        <v>0</v>
      </c>
      <c r="R371" s="4">
        <f>IF(K371&lt;&gt;"Yes",0,P371*Sales_Tax_Settings!$B$9)</f>
        <v>0</v>
      </c>
      <c r="S371" s="4">
        <f t="shared" si="41"/>
        <v>0</v>
      </c>
    </row>
    <row r="372" spans="1:19" x14ac:dyDescent="0.3">
      <c r="A372" t="str">
        <f>IF(Expense_Input!A372="","",Expense_Input!A372)</f>
        <v/>
      </c>
      <c r="B372" t="str">
        <f>IF(Expense_Input!B372="","",Expense_Input!B372)</f>
        <v/>
      </c>
      <c r="C372" t="str">
        <f t="shared" si="35"/>
        <v/>
      </c>
      <c r="D372" t="str">
        <f>IF(Expense_Input!C372="","",Expense_Input!C372)</f>
        <v/>
      </c>
      <c r="E372" s="4" t="str">
        <f>IF(Expense_Input!D372="","",Expense_Input!D372)</f>
        <v/>
      </c>
      <c r="F372" t="str">
        <f>IF(Expense_Input!E372="","",Expense_Input!E372)</f>
        <v/>
      </c>
      <c r="G372" t="str">
        <f>IF(Expense_Input!H372="","",Expense_Input!H372)</f>
        <v/>
      </c>
      <c r="H372" t="str">
        <f>IF(Expense_Input!I372="","Auto",Expense_Input!I372)</f>
        <v>Auto</v>
      </c>
      <c r="I372" t="str">
        <f>IF(F372="","",IFERROR(VLOOKUP(F372,Sales_Tax_Settings!$A$15:$B$27,2,FALSE),"Tax Unknown"))</f>
        <v/>
      </c>
      <c r="J372" t="str">
        <f t="shared" si="36"/>
        <v/>
      </c>
      <c r="K372" t="str">
        <f>IF(AND(Sales_Tax_Settings!$B$5="Yes",G372="Personal Expense",J372="Taxable"),"Yes","No")</f>
        <v>No</v>
      </c>
      <c r="L372" s="4">
        <f t="shared" si="37"/>
        <v>0</v>
      </c>
      <c r="M372" s="4">
        <f t="shared" si="38"/>
        <v>0</v>
      </c>
      <c r="N372" s="4">
        <f t="shared" si="39"/>
        <v>0</v>
      </c>
      <c r="O372" s="4">
        <f t="shared" si="40"/>
        <v>0</v>
      </c>
      <c r="P372" s="4">
        <f>IF(K372&lt;&gt;"Yes",0,IF(Sales_Tax_Settings!$B$6="Yes",E372/(1+Sales_Tax_Settings!$B$10),E372))</f>
        <v>0</v>
      </c>
      <c r="Q372" s="4">
        <f>IF(K372&lt;&gt;"Yes",0,P372*Sales_Tax_Settings!$B$8)</f>
        <v>0</v>
      </c>
      <c r="R372" s="4">
        <f>IF(K372&lt;&gt;"Yes",0,P372*Sales_Tax_Settings!$B$9)</f>
        <v>0</v>
      </c>
      <c r="S372" s="4">
        <f t="shared" si="41"/>
        <v>0</v>
      </c>
    </row>
    <row r="373" spans="1:19" x14ac:dyDescent="0.3">
      <c r="A373" t="str">
        <f>IF(Expense_Input!A373="","",Expense_Input!A373)</f>
        <v/>
      </c>
      <c r="B373" t="str">
        <f>IF(Expense_Input!B373="","",Expense_Input!B373)</f>
        <v/>
      </c>
      <c r="C373" t="str">
        <f t="shared" si="35"/>
        <v/>
      </c>
      <c r="D373" t="str">
        <f>IF(Expense_Input!C373="","",Expense_Input!C373)</f>
        <v/>
      </c>
      <c r="E373" s="4" t="str">
        <f>IF(Expense_Input!D373="","",Expense_Input!D373)</f>
        <v/>
      </c>
      <c r="F373" t="str">
        <f>IF(Expense_Input!E373="","",Expense_Input!E373)</f>
        <v/>
      </c>
      <c r="G373" t="str">
        <f>IF(Expense_Input!H373="","",Expense_Input!H373)</f>
        <v/>
      </c>
      <c r="H373" t="str">
        <f>IF(Expense_Input!I373="","Auto",Expense_Input!I373)</f>
        <v>Auto</v>
      </c>
      <c r="I373" t="str">
        <f>IF(F373="","",IFERROR(VLOOKUP(F373,Sales_Tax_Settings!$A$15:$B$27,2,FALSE),"Tax Unknown"))</f>
        <v/>
      </c>
      <c r="J373" t="str">
        <f t="shared" si="36"/>
        <v/>
      </c>
      <c r="K373" t="str">
        <f>IF(AND(Sales_Tax_Settings!$B$5="Yes",G373="Personal Expense",J373="Taxable"),"Yes","No")</f>
        <v>No</v>
      </c>
      <c r="L373" s="4">
        <f t="shared" si="37"/>
        <v>0</v>
      </c>
      <c r="M373" s="4">
        <f t="shared" si="38"/>
        <v>0</v>
      </c>
      <c r="N373" s="4">
        <f t="shared" si="39"/>
        <v>0</v>
      </c>
      <c r="O373" s="4">
        <f t="shared" si="40"/>
        <v>0</v>
      </c>
      <c r="P373" s="4">
        <f>IF(K373&lt;&gt;"Yes",0,IF(Sales_Tax_Settings!$B$6="Yes",E373/(1+Sales_Tax_Settings!$B$10),E373))</f>
        <v>0</v>
      </c>
      <c r="Q373" s="4">
        <f>IF(K373&lt;&gt;"Yes",0,P373*Sales_Tax_Settings!$B$8)</f>
        <v>0</v>
      </c>
      <c r="R373" s="4">
        <f>IF(K373&lt;&gt;"Yes",0,P373*Sales_Tax_Settings!$B$9)</f>
        <v>0</v>
      </c>
      <c r="S373" s="4">
        <f t="shared" si="41"/>
        <v>0</v>
      </c>
    </row>
    <row r="374" spans="1:19" x14ac:dyDescent="0.3">
      <c r="A374" t="str">
        <f>IF(Expense_Input!A374="","",Expense_Input!A374)</f>
        <v/>
      </c>
      <c r="B374" t="str">
        <f>IF(Expense_Input!B374="","",Expense_Input!B374)</f>
        <v/>
      </c>
      <c r="C374" t="str">
        <f t="shared" si="35"/>
        <v/>
      </c>
      <c r="D374" t="str">
        <f>IF(Expense_Input!C374="","",Expense_Input!C374)</f>
        <v/>
      </c>
      <c r="E374" s="4" t="str">
        <f>IF(Expense_Input!D374="","",Expense_Input!D374)</f>
        <v/>
      </c>
      <c r="F374" t="str">
        <f>IF(Expense_Input!E374="","",Expense_Input!E374)</f>
        <v/>
      </c>
      <c r="G374" t="str">
        <f>IF(Expense_Input!H374="","",Expense_Input!H374)</f>
        <v/>
      </c>
      <c r="H374" t="str">
        <f>IF(Expense_Input!I374="","Auto",Expense_Input!I374)</f>
        <v>Auto</v>
      </c>
      <c r="I374" t="str">
        <f>IF(F374="","",IFERROR(VLOOKUP(F374,Sales_Tax_Settings!$A$15:$B$27,2,FALSE),"Tax Unknown"))</f>
        <v/>
      </c>
      <c r="J374" t="str">
        <f t="shared" si="36"/>
        <v/>
      </c>
      <c r="K374" t="str">
        <f>IF(AND(Sales_Tax_Settings!$B$5="Yes",G374="Personal Expense",J374="Taxable"),"Yes","No")</f>
        <v>No</v>
      </c>
      <c r="L374" s="4">
        <f t="shared" si="37"/>
        <v>0</v>
      </c>
      <c r="M374" s="4">
        <f t="shared" si="38"/>
        <v>0</v>
      </c>
      <c r="N374" s="4">
        <f t="shared" si="39"/>
        <v>0</v>
      </c>
      <c r="O374" s="4">
        <f t="shared" si="40"/>
        <v>0</v>
      </c>
      <c r="P374" s="4">
        <f>IF(K374&lt;&gt;"Yes",0,IF(Sales_Tax_Settings!$B$6="Yes",E374/(1+Sales_Tax_Settings!$B$10),E374))</f>
        <v>0</v>
      </c>
      <c r="Q374" s="4">
        <f>IF(K374&lt;&gt;"Yes",0,P374*Sales_Tax_Settings!$B$8)</f>
        <v>0</v>
      </c>
      <c r="R374" s="4">
        <f>IF(K374&lt;&gt;"Yes",0,P374*Sales_Tax_Settings!$B$9)</f>
        <v>0</v>
      </c>
      <c r="S374" s="4">
        <f t="shared" si="41"/>
        <v>0</v>
      </c>
    </row>
    <row r="375" spans="1:19" x14ac:dyDescent="0.3">
      <c r="A375" t="str">
        <f>IF(Expense_Input!A375="","",Expense_Input!A375)</f>
        <v/>
      </c>
      <c r="B375" t="str">
        <f>IF(Expense_Input!B375="","",Expense_Input!B375)</f>
        <v/>
      </c>
      <c r="C375" t="str">
        <f t="shared" si="35"/>
        <v/>
      </c>
      <c r="D375" t="str">
        <f>IF(Expense_Input!C375="","",Expense_Input!C375)</f>
        <v/>
      </c>
      <c r="E375" s="4" t="str">
        <f>IF(Expense_Input!D375="","",Expense_Input!D375)</f>
        <v/>
      </c>
      <c r="F375" t="str">
        <f>IF(Expense_Input!E375="","",Expense_Input!E375)</f>
        <v/>
      </c>
      <c r="G375" t="str">
        <f>IF(Expense_Input!H375="","",Expense_Input!H375)</f>
        <v/>
      </c>
      <c r="H375" t="str">
        <f>IF(Expense_Input!I375="","Auto",Expense_Input!I375)</f>
        <v>Auto</v>
      </c>
      <c r="I375" t="str">
        <f>IF(F375="","",IFERROR(VLOOKUP(F375,Sales_Tax_Settings!$A$15:$B$27,2,FALSE),"Tax Unknown"))</f>
        <v/>
      </c>
      <c r="J375" t="str">
        <f t="shared" si="36"/>
        <v/>
      </c>
      <c r="K375" t="str">
        <f>IF(AND(Sales_Tax_Settings!$B$5="Yes",G375="Personal Expense",J375="Taxable"),"Yes","No")</f>
        <v>No</v>
      </c>
      <c r="L375" s="4">
        <f t="shared" si="37"/>
        <v>0</v>
      </c>
      <c r="M375" s="4">
        <f t="shared" si="38"/>
        <v>0</v>
      </c>
      <c r="N375" s="4">
        <f t="shared" si="39"/>
        <v>0</v>
      </c>
      <c r="O375" s="4">
        <f t="shared" si="40"/>
        <v>0</v>
      </c>
      <c r="P375" s="4">
        <f>IF(K375&lt;&gt;"Yes",0,IF(Sales_Tax_Settings!$B$6="Yes",E375/(1+Sales_Tax_Settings!$B$10),E375))</f>
        <v>0</v>
      </c>
      <c r="Q375" s="4">
        <f>IF(K375&lt;&gt;"Yes",0,P375*Sales_Tax_Settings!$B$8)</f>
        <v>0</v>
      </c>
      <c r="R375" s="4">
        <f>IF(K375&lt;&gt;"Yes",0,P375*Sales_Tax_Settings!$B$9)</f>
        <v>0</v>
      </c>
      <c r="S375" s="4">
        <f t="shared" si="41"/>
        <v>0</v>
      </c>
    </row>
    <row r="376" spans="1:19" x14ac:dyDescent="0.3">
      <c r="A376" t="str">
        <f>IF(Expense_Input!A376="","",Expense_Input!A376)</f>
        <v/>
      </c>
      <c r="B376" t="str">
        <f>IF(Expense_Input!B376="","",Expense_Input!B376)</f>
        <v/>
      </c>
      <c r="C376" t="str">
        <f t="shared" si="35"/>
        <v/>
      </c>
      <c r="D376" t="str">
        <f>IF(Expense_Input!C376="","",Expense_Input!C376)</f>
        <v/>
      </c>
      <c r="E376" s="4" t="str">
        <f>IF(Expense_Input!D376="","",Expense_Input!D376)</f>
        <v/>
      </c>
      <c r="F376" t="str">
        <f>IF(Expense_Input!E376="","",Expense_Input!E376)</f>
        <v/>
      </c>
      <c r="G376" t="str">
        <f>IF(Expense_Input!H376="","",Expense_Input!H376)</f>
        <v/>
      </c>
      <c r="H376" t="str">
        <f>IF(Expense_Input!I376="","Auto",Expense_Input!I376)</f>
        <v>Auto</v>
      </c>
      <c r="I376" t="str">
        <f>IF(F376="","",IFERROR(VLOOKUP(F376,Sales_Tax_Settings!$A$15:$B$27,2,FALSE),"Tax Unknown"))</f>
        <v/>
      </c>
      <c r="J376" t="str">
        <f t="shared" si="36"/>
        <v/>
      </c>
      <c r="K376" t="str">
        <f>IF(AND(Sales_Tax_Settings!$B$5="Yes",G376="Personal Expense",J376="Taxable"),"Yes","No")</f>
        <v>No</v>
      </c>
      <c r="L376" s="4">
        <f t="shared" si="37"/>
        <v>0</v>
      </c>
      <c r="M376" s="4">
        <f t="shared" si="38"/>
        <v>0</v>
      </c>
      <c r="N376" s="4">
        <f t="shared" si="39"/>
        <v>0</v>
      </c>
      <c r="O376" s="4">
        <f t="shared" si="40"/>
        <v>0</v>
      </c>
      <c r="P376" s="4">
        <f>IF(K376&lt;&gt;"Yes",0,IF(Sales_Tax_Settings!$B$6="Yes",E376/(1+Sales_Tax_Settings!$B$10),E376))</f>
        <v>0</v>
      </c>
      <c r="Q376" s="4">
        <f>IF(K376&lt;&gt;"Yes",0,P376*Sales_Tax_Settings!$B$8)</f>
        <v>0</v>
      </c>
      <c r="R376" s="4">
        <f>IF(K376&lt;&gt;"Yes",0,P376*Sales_Tax_Settings!$B$9)</f>
        <v>0</v>
      </c>
      <c r="S376" s="4">
        <f t="shared" si="41"/>
        <v>0</v>
      </c>
    </row>
    <row r="377" spans="1:19" x14ac:dyDescent="0.3">
      <c r="A377" t="str">
        <f>IF(Expense_Input!A377="","",Expense_Input!A377)</f>
        <v/>
      </c>
      <c r="B377" t="str">
        <f>IF(Expense_Input!B377="","",Expense_Input!B377)</f>
        <v/>
      </c>
      <c r="C377" t="str">
        <f t="shared" si="35"/>
        <v/>
      </c>
      <c r="D377" t="str">
        <f>IF(Expense_Input!C377="","",Expense_Input!C377)</f>
        <v/>
      </c>
      <c r="E377" s="4" t="str">
        <f>IF(Expense_Input!D377="","",Expense_Input!D377)</f>
        <v/>
      </c>
      <c r="F377" t="str">
        <f>IF(Expense_Input!E377="","",Expense_Input!E377)</f>
        <v/>
      </c>
      <c r="G377" t="str">
        <f>IF(Expense_Input!H377="","",Expense_Input!H377)</f>
        <v/>
      </c>
      <c r="H377" t="str">
        <f>IF(Expense_Input!I377="","Auto",Expense_Input!I377)</f>
        <v>Auto</v>
      </c>
      <c r="I377" t="str">
        <f>IF(F377="","",IFERROR(VLOOKUP(F377,Sales_Tax_Settings!$A$15:$B$27,2,FALSE),"Tax Unknown"))</f>
        <v/>
      </c>
      <c r="J377" t="str">
        <f t="shared" si="36"/>
        <v/>
      </c>
      <c r="K377" t="str">
        <f>IF(AND(Sales_Tax_Settings!$B$5="Yes",G377="Personal Expense",J377="Taxable"),"Yes","No")</f>
        <v>No</v>
      </c>
      <c r="L377" s="4">
        <f t="shared" si="37"/>
        <v>0</v>
      </c>
      <c r="M377" s="4">
        <f t="shared" si="38"/>
        <v>0</v>
      </c>
      <c r="N377" s="4">
        <f t="shared" si="39"/>
        <v>0</v>
      </c>
      <c r="O377" s="4">
        <f t="shared" si="40"/>
        <v>0</v>
      </c>
      <c r="P377" s="4">
        <f>IF(K377&lt;&gt;"Yes",0,IF(Sales_Tax_Settings!$B$6="Yes",E377/(1+Sales_Tax_Settings!$B$10),E377))</f>
        <v>0</v>
      </c>
      <c r="Q377" s="4">
        <f>IF(K377&lt;&gt;"Yes",0,P377*Sales_Tax_Settings!$B$8)</f>
        <v>0</v>
      </c>
      <c r="R377" s="4">
        <f>IF(K377&lt;&gt;"Yes",0,P377*Sales_Tax_Settings!$B$9)</f>
        <v>0</v>
      </c>
      <c r="S377" s="4">
        <f t="shared" si="41"/>
        <v>0</v>
      </c>
    </row>
    <row r="378" spans="1:19" x14ac:dyDescent="0.3">
      <c r="A378" t="str">
        <f>IF(Expense_Input!A378="","",Expense_Input!A378)</f>
        <v/>
      </c>
      <c r="B378" t="str">
        <f>IF(Expense_Input!B378="","",Expense_Input!B378)</f>
        <v/>
      </c>
      <c r="C378" t="str">
        <f t="shared" si="35"/>
        <v/>
      </c>
      <c r="D378" t="str">
        <f>IF(Expense_Input!C378="","",Expense_Input!C378)</f>
        <v/>
      </c>
      <c r="E378" s="4" t="str">
        <f>IF(Expense_Input!D378="","",Expense_Input!D378)</f>
        <v/>
      </c>
      <c r="F378" t="str">
        <f>IF(Expense_Input!E378="","",Expense_Input!E378)</f>
        <v/>
      </c>
      <c r="G378" t="str">
        <f>IF(Expense_Input!H378="","",Expense_Input!H378)</f>
        <v/>
      </c>
      <c r="H378" t="str">
        <f>IF(Expense_Input!I378="","Auto",Expense_Input!I378)</f>
        <v>Auto</v>
      </c>
      <c r="I378" t="str">
        <f>IF(F378="","",IFERROR(VLOOKUP(F378,Sales_Tax_Settings!$A$15:$B$27,2,FALSE),"Tax Unknown"))</f>
        <v/>
      </c>
      <c r="J378" t="str">
        <f t="shared" si="36"/>
        <v/>
      </c>
      <c r="K378" t="str">
        <f>IF(AND(Sales_Tax_Settings!$B$5="Yes",G378="Personal Expense",J378="Taxable"),"Yes","No")</f>
        <v>No</v>
      </c>
      <c r="L378" s="4">
        <f t="shared" si="37"/>
        <v>0</v>
      </c>
      <c r="M378" s="4">
        <f t="shared" si="38"/>
        <v>0</v>
      </c>
      <c r="N378" s="4">
        <f t="shared" si="39"/>
        <v>0</v>
      </c>
      <c r="O378" s="4">
        <f t="shared" si="40"/>
        <v>0</v>
      </c>
      <c r="P378" s="4">
        <f>IF(K378&lt;&gt;"Yes",0,IF(Sales_Tax_Settings!$B$6="Yes",E378/(1+Sales_Tax_Settings!$B$10),E378))</f>
        <v>0</v>
      </c>
      <c r="Q378" s="4">
        <f>IF(K378&lt;&gt;"Yes",0,P378*Sales_Tax_Settings!$B$8)</f>
        <v>0</v>
      </c>
      <c r="R378" s="4">
        <f>IF(K378&lt;&gt;"Yes",0,P378*Sales_Tax_Settings!$B$9)</f>
        <v>0</v>
      </c>
      <c r="S378" s="4">
        <f t="shared" si="41"/>
        <v>0</v>
      </c>
    </row>
    <row r="379" spans="1:19" x14ac:dyDescent="0.3">
      <c r="A379" t="str">
        <f>IF(Expense_Input!A379="","",Expense_Input!A379)</f>
        <v/>
      </c>
      <c r="B379" t="str">
        <f>IF(Expense_Input!B379="","",Expense_Input!B379)</f>
        <v/>
      </c>
      <c r="C379" t="str">
        <f t="shared" si="35"/>
        <v/>
      </c>
      <c r="D379" t="str">
        <f>IF(Expense_Input!C379="","",Expense_Input!C379)</f>
        <v/>
      </c>
      <c r="E379" s="4" t="str">
        <f>IF(Expense_Input!D379="","",Expense_Input!D379)</f>
        <v/>
      </c>
      <c r="F379" t="str">
        <f>IF(Expense_Input!E379="","",Expense_Input!E379)</f>
        <v/>
      </c>
      <c r="G379" t="str">
        <f>IF(Expense_Input!H379="","",Expense_Input!H379)</f>
        <v/>
      </c>
      <c r="H379" t="str">
        <f>IF(Expense_Input!I379="","Auto",Expense_Input!I379)</f>
        <v>Auto</v>
      </c>
      <c r="I379" t="str">
        <f>IF(F379="","",IFERROR(VLOOKUP(F379,Sales_Tax_Settings!$A$15:$B$27,2,FALSE),"Tax Unknown"))</f>
        <v/>
      </c>
      <c r="J379" t="str">
        <f t="shared" si="36"/>
        <v/>
      </c>
      <c r="K379" t="str">
        <f>IF(AND(Sales_Tax_Settings!$B$5="Yes",G379="Personal Expense",J379="Taxable"),"Yes","No")</f>
        <v>No</v>
      </c>
      <c r="L379" s="4">
        <f t="shared" si="37"/>
        <v>0</v>
      </c>
      <c r="M379" s="4">
        <f t="shared" si="38"/>
        <v>0</v>
      </c>
      <c r="N379" s="4">
        <f t="shared" si="39"/>
        <v>0</v>
      </c>
      <c r="O379" s="4">
        <f t="shared" si="40"/>
        <v>0</v>
      </c>
      <c r="P379" s="4">
        <f>IF(K379&lt;&gt;"Yes",0,IF(Sales_Tax_Settings!$B$6="Yes",E379/(1+Sales_Tax_Settings!$B$10),E379))</f>
        <v>0</v>
      </c>
      <c r="Q379" s="4">
        <f>IF(K379&lt;&gt;"Yes",0,P379*Sales_Tax_Settings!$B$8)</f>
        <v>0</v>
      </c>
      <c r="R379" s="4">
        <f>IF(K379&lt;&gt;"Yes",0,P379*Sales_Tax_Settings!$B$9)</f>
        <v>0</v>
      </c>
      <c r="S379" s="4">
        <f t="shared" si="41"/>
        <v>0</v>
      </c>
    </row>
    <row r="380" spans="1:19" x14ac:dyDescent="0.3">
      <c r="A380" t="str">
        <f>IF(Expense_Input!A380="","",Expense_Input!A380)</f>
        <v/>
      </c>
      <c r="B380" t="str">
        <f>IF(Expense_Input!B380="","",Expense_Input!B380)</f>
        <v/>
      </c>
      <c r="C380" t="str">
        <f t="shared" si="35"/>
        <v/>
      </c>
      <c r="D380" t="str">
        <f>IF(Expense_Input!C380="","",Expense_Input!C380)</f>
        <v/>
      </c>
      <c r="E380" s="4" t="str">
        <f>IF(Expense_Input!D380="","",Expense_Input!D380)</f>
        <v/>
      </c>
      <c r="F380" t="str">
        <f>IF(Expense_Input!E380="","",Expense_Input!E380)</f>
        <v/>
      </c>
      <c r="G380" t="str">
        <f>IF(Expense_Input!H380="","",Expense_Input!H380)</f>
        <v/>
      </c>
      <c r="H380" t="str">
        <f>IF(Expense_Input!I380="","Auto",Expense_Input!I380)</f>
        <v>Auto</v>
      </c>
      <c r="I380" t="str">
        <f>IF(F380="","",IFERROR(VLOOKUP(F380,Sales_Tax_Settings!$A$15:$B$27,2,FALSE),"Tax Unknown"))</f>
        <v/>
      </c>
      <c r="J380" t="str">
        <f t="shared" si="36"/>
        <v/>
      </c>
      <c r="K380" t="str">
        <f>IF(AND(Sales_Tax_Settings!$B$5="Yes",G380="Personal Expense",J380="Taxable"),"Yes","No")</f>
        <v>No</v>
      </c>
      <c r="L380" s="4">
        <f t="shared" si="37"/>
        <v>0</v>
      </c>
      <c r="M380" s="4">
        <f t="shared" si="38"/>
        <v>0</v>
      </c>
      <c r="N380" s="4">
        <f t="shared" si="39"/>
        <v>0</v>
      </c>
      <c r="O380" s="4">
        <f t="shared" si="40"/>
        <v>0</v>
      </c>
      <c r="P380" s="4">
        <f>IF(K380&lt;&gt;"Yes",0,IF(Sales_Tax_Settings!$B$6="Yes",E380/(1+Sales_Tax_Settings!$B$10),E380))</f>
        <v>0</v>
      </c>
      <c r="Q380" s="4">
        <f>IF(K380&lt;&gt;"Yes",0,P380*Sales_Tax_Settings!$B$8)</f>
        <v>0</v>
      </c>
      <c r="R380" s="4">
        <f>IF(K380&lt;&gt;"Yes",0,P380*Sales_Tax_Settings!$B$9)</f>
        <v>0</v>
      </c>
      <c r="S380" s="4">
        <f t="shared" si="41"/>
        <v>0</v>
      </c>
    </row>
    <row r="381" spans="1:19" x14ac:dyDescent="0.3">
      <c r="A381" t="str">
        <f>IF(Expense_Input!A381="","",Expense_Input!A381)</f>
        <v/>
      </c>
      <c r="B381" t="str">
        <f>IF(Expense_Input!B381="","",Expense_Input!B381)</f>
        <v/>
      </c>
      <c r="C381" t="str">
        <f t="shared" si="35"/>
        <v/>
      </c>
      <c r="D381" t="str">
        <f>IF(Expense_Input!C381="","",Expense_Input!C381)</f>
        <v/>
      </c>
      <c r="E381" s="4" t="str">
        <f>IF(Expense_Input!D381="","",Expense_Input!D381)</f>
        <v/>
      </c>
      <c r="F381" t="str">
        <f>IF(Expense_Input!E381="","",Expense_Input!E381)</f>
        <v/>
      </c>
      <c r="G381" t="str">
        <f>IF(Expense_Input!H381="","",Expense_Input!H381)</f>
        <v/>
      </c>
      <c r="H381" t="str">
        <f>IF(Expense_Input!I381="","Auto",Expense_Input!I381)</f>
        <v>Auto</v>
      </c>
      <c r="I381" t="str">
        <f>IF(F381="","",IFERROR(VLOOKUP(F381,Sales_Tax_Settings!$A$15:$B$27,2,FALSE),"Tax Unknown"))</f>
        <v/>
      </c>
      <c r="J381" t="str">
        <f t="shared" si="36"/>
        <v/>
      </c>
      <c r="K381" t="str">
        <f>IF(AND(Sales_Tax_Settings!$B$5="Yes",G381="Personal Expense",J381="Taxable"),"Yes","No")</f>
        <v>No</v>
      </c>
      <c r="L381" s="4">
        <f t="shared" si="37"/>
        <v>0</v>
      </c>
      <c r="M381" s="4">
        <f t="shared" si="38"/>
        <v>0</v>
      </c>
      <c r="N381" s="4">
        <f t="shared" si="39"/>
        <v>0</v>
      </c>
      <c r="O381" s="4">
        <f t="shared" si="40"/>
        <v>0</v>
      </c>
      <c r="P381" s="4">
        <f>IF(K381&lt;&gt;"Yes",0,IF(Sales_Tax_Settings!$B$6="Yes",E381/(1+Sales_Tax_Settings!$B$10),E381))</f>
        <v>0</v>
      </c>
      <c r="Q381" s="4">
        <f>IF(K381&lt;&gt;"Yes",0,P381*Sales_Tax_Settings!$B$8)</f>
        <v>0</v>
      </c>
      <c r="R381" s="4">
        <f>IF(K381&lt;&gt;"Yes",0,P381*Sales_Tax_Settings!$B$9)</f>
        <v>0</v>
      </c>
      <c r="S381" s="4">
        <f t="shared" si="41"/>
        <v>0</v>
      </c>
    </row>
    <row r="382" spans="1:19" x14ac:dyDescent="0.3">
      <c r="A382" t="str">
        <f>IF(Expense_Input!A382="","",Expense_Input!A382)</f>
        <v/>
      </c>
      <c r="B382" t="str">
        <f>IF(Expense_Input!B382="","",Expense_Input!B382)</f>
        <v/>
      </c>
      <c r="C382" t="str">
        <f t="shared" si="35"/>
        <v/>
      </c>
      <c r="D382" t="str">
        <f>IF(Expense_Input!C382="","",Expense_Input!C382)</f>
        <v/>
      </c>
      <c r="E382" s="4" t="str">
        <f>IF(Expense_Input!D382="","",Expense_Input!D382)</f>
        <v/>
      </c>
      <c r="F382" t="str">
        <f>IF(Expense_Input!E382="","",Expense_Input!E382)</f>
        <v/>
      </c>
      <c r="G382" t="str">
        <f>IF(Expense_Input!H382="","",Expense_Input!H382)</f>
        <v/>
      </c>
      <c r="H382" t="str">
        <f>IF(Expense_Input!I382="","Auto",Expense_Input!I382)</f>
        <v>Auto</v>
      </c>
      <c r="I382" t="str">
        <f>IF(F382="","",IFERROR(VLOOKUP(F382,Sales_Tax_Settings!$A$15:$B$27,2,FALSE),"Tax Unknown"))</f>
        <v/>
      </c>
      <c r="J382" t="str">
        <f t="shared" si="36"/>
        <v/>
      </c>
      <c r="K382" t="str">
        <f>IF(AND(Sales_Tax_Settings!$B$5="Yes",G382="Personal Expense",J382="Taxable"),"Yes","No")</f>
        <v>No</v>
      </c>
      <c r="L382" s="4">
        <f t="shared" si="37"/>
        <v>0</v>
      </c>
      <c r="M382" s="4">
        <f t="shared" si="38"/>
        <v>0</v>
      </c>
      <c r="N382" s="4">
        <f t="shared" si="39"/>
        <v>0</v>
      </c>
      <c r="O382" s="4">
        <f t="shared" si="40"/>
        <v>0</v>
      </c>
      <c r="P382" s="4">
        <f>IF(K382&lt;&gt;"Yes",0,IF(Sales_Tax_Settings!$B$6="Yes",E382/(1+Sales_Tax_Settings!$B$10),E382))</f>
        <v>0</v>
      </c>
      <c r="Q382" s="4">
        <f>IF(K382&lt;&gt;"Yes",0,P382*Sales_Tax_Settings!$B$8)</f>
        <v>0</v>
      </c>
      <c r="R382" s="4">
        <f>IF(K382&lt;&gt;"Yes",0,P382*Sales_Tax_Settings!$B$9)</f>
        <v>0</v>
      </c>
      <c r="S382" s="4">
        <f t="shared" si="41"/>
        <v>0</v>
      </c>
    </row>
    <row r="383" spans="1:19" x14ac:dyDescent="0.3">
      <c r="A383" t="str">
        <f>IF(Expense_Input!A383="","",Expense_Input!A383)</f>
        <v/>
      </c>
      <c r="B383" t="str">
        <f>IF(Expense_Input!B383="","",Expense_Input!B383)</f>
        <v/>
      </c>
      <c r="C383" t="str">
        <f t="shared" si="35"/>
        <v/>
      </c>
      <c r="D383" t="str">
        <f>IF(Expense_Input!C383="","",Expense_Input!C383)</f>
        <v/>
      </c>
      <c r="E383" s="4" t="str">
        <f>IF(Expense_Input!D383="","",Expense_Input!D383)</f>
        <v/>
      </c>
      <c r="F383" t="str">
        <f>IF(Expense_Input!E383="","",Expense_Input!E383)</f>
        <v/>
      </c>
      <c r="G383" t="str">
        <f>IF(Expense_Input!H383="","",Expense_Input!H383)</f>
        <v/>
      </c>
      <c r="H383" t="str">
        <f>IF(Expense_Input!I383="","Auto",Expense_Input!I383)</f>
        <v>Auto</v>
      </c>
      <c r="I383" t="str">
        <f>IF(F383="","",IFERROR(VLOOKUP(F383,Sales_Tax_Settings!$A$15:$B$27,2,FALSE),"Tax Unknown"))</f>
        <v/>
      </c>
      <c r="J383" t="str">
        <f t="shared" si="36"/>
        <v/>
      </c>
      <c r="K383" t="str">
        <f>IF(AND(Sales_Tax_Settings!$B$5="Yes",G383="Personal Expense",J383="Taxable"),"Yes","No")</f>
        <v>No</v>
      </c>
      <c r="L383" s="4">
        <f t="shared" si="37"/>
        <v>0</v>
      </c>
      <c r="M383" s="4">
        <f t="shared" si="38"/>
        <v>0</v>
      </c>
      <c r="N383" s="4">
        <f t="shared" si="39"/>
        <v>0</v>
      </c>
      <c r="O383" s="4">
        <f t="shared" si="40"/>
        <v>0</v>
      </c>
      <c r="P383" s="4">
        <f>IF(K383&lt;&gt;"Yes",0,IF(Sales_Tax_Settings!$B$6="Yes",E383/(1+Sales_Tax_Settings!$B$10),E383))</f>
        <v>0</v>
      </c>
      <c r="Q383" s="4">
        <f>IF(K383&lt;&gt;"Yes",0,P383*Sales_Tax_Settings!$B$8)</f>
        <v>0</v>
      </c>
      <c r="R383" s="4">
        <f>IF(K383&lt;&gt;"Yes",0,P383*Sales_Tax_Settings!$B$9)</f>
        <v>0</v>
      </c>
      <c r="S383" s="4">
        <f t="shared" si="41"/>
        <v>0</v>
      </c>
    </row>
    <row r="384" spans="1:19" x14ac:dyDescent="0.3">
      <c r="A384" t="str">
        <f>IF(Expense_Input!A384="","",Expense_Input!A384)</f>
        <v/>
      </c>
      <c r="B384" t="str">
        <f>IF(Expense_Input!B384="","",Expense_Input!B384)</f>
        <v/>
      </c>
      <c r="C384" t="str">
        <f t="shared" si="35"/>
        <v/>
      </c>
      <c r="D384" t="str">
        <f>IF(Expense_Input!C384="","",Expense_Input!C384)</f>
        <v/>
      </c>
      <c r="E384" s="4" t="str">
        <f>IF(Expense_Input!D384="","",Expense_Input!D384)</f>
        <v/>
      </c>
      <c r="F384" t="str">
        <f>IF(Expense_Input!E384="","",Expense_Input!E384)</f>
        <v/>
      </c>
      <c r="G384" t="str">
        <f>IF(Expense_Input!H384="","",Expense_Input!H384)</f>
        <v/>
      </c>
      <c r="H384" t="str">
        <f>IF(Expense_Input!I384="","Auto",Expense_Input!I384)</f>
        <v>Auto</v>
      </c>
      <c r="I384" t="str">
        <f>IF(F384="","",IFERROR(VLOOKUP(F384,Sales_Tax_Settings!$A$15:$B$27,2,FALSE),"Tax Unknown"))</f>
        <v/>
      </c>
      <c r="J384" t="str">
        <f t="shared" si="36"/>
        <v/>
      </c>
      <c r="K384" t="str">
        <f>IF(AND(Sales_Tax_Settings!$B$5="Yes",G384="Personal Expense",J384="Taxable"),"Yes","No")</f>
        <v>No</v>
      </c>
      <c r="L384" s="4">
        <f t="shared" si="37"/>
        <v>0</v>
      </c>
      <c r="M384" s="4">
        <f t="shared" si="38"/>
        <v>0</v>
      </c>
      <c r="N384" s="4">
        <f t="shared" si="39"/>
        <v>0</v>
      </c>
      <c r="O384" s="4">
        <f t="shared" si="40"/>
        <v>0</v>
      </c>
      <c r="P384" s="4">
        <f>IF(K384&lt;&gt;"Yes",0,IF(Sales_Tax_Settings!$B$6="Yes",E384/(1+Sales_Tax_Settings!$B$10),E384))</f>
        <v>0</v>
      </c>
      <c r="Q384" s="4">
        <f>IF(K384&lt;&gt;"Yes",0,P384*Sales_Tax_Settings!$B$8)</f>
        <v>0</v>
      </c>
      <c r="R384" s="4">
        <f>IF(K384&lt;&gt;"Yes",0,P384*Sales_Tax_Settings!$B$9)</f>
        <v>0</v>
      </c>
      <c r="S384" s="4">
        <f t="shared" si="41"/>
        <v>0</v>
      </c>
    </row>
    <row r="385" spans="1:19" x14ac:dyDescent="0.3">
      <c r="A385" t="str">
        <f>IF(Expense_Input!A385="","",Expense_Input!A385)</f>
        <v/>
      </c>
      <c r="B385" t="str">
        <f>IF(Expense_Input!B385="","",Expense_Input!B385)</f>
        <v/>
      </c>
      <c r="C385" t="str">
        <f t="shared" si="35"/>
        <v/>
      </c>
      <c r="D385" t="str">
        <f>IF(Expense_Input!C385="","",Expense_Input!C385)</f>
        <v/>
      </c>
      <c r="E385" s="4" t="str">
        <f>IF(Expense_Input!D385="","",Expense_Input!D385)</f>
        <v/>
      </c>
      <c r="F385" t="str">
        <f>IF(Expense_Input!E385="","",Expense_Input!E385)</f>
        <v/>
      </c>
      <c r="G385" t="str">
        <f>IF(Expense_Input!H385="","",Expense_Input!H385)</f>
        <v/>
      </c>
      <c r="H385" t="str">
        <f>IF(Expense_Input!I385="","Auto",Expense_Input!I385)</f>
        <v>Auto</v>
      </c>
      <c r="I385" t="str">
        <f>IF(F385="","",IFERROR(VLOOKUP(F385,Sales_Tax_Settings!$A$15:$B$27,2,FALSE),"Tax Unknown"))</f>
        <v/>
      </c>
      <c r="J385" t="str">
        <f t="shared" si="36"/>
        <v/>
      </c>
      <c r="K385" t="str">
        <f>IF(AND(Sales_Tax_Settings!$B$5="Yes",G385="Personal Expense",J385="Taxable"),"Yes","No")</f>
        <v>No</v>
      </c>
      <c r="L385" s="4">
        <f t="shared" si="37"/>
        <v>0</v>
      </c>
      <c r="M385" s="4">
        <f t="shared" si="38"/>
        <v>0</v>
      </c>
      <c r="N385" s="4">
        <f t="shared" si="39"/>
        <v>0</v>
      </c>
      <c r="O385" s="4">
        <f t="shared" si="40"/>
        <v>0</v>
      </c>
      <c r="P385" s="4">
        <f>IF(K385&lt;&gt;"Yes",0,IF(Sales_Tax_Settings!$B$6="Yes",E385/(1+Sales_Tax_Settings!$B$10),E385))</f>
        <v>0</v>
      </c>
      <c r="Q385" s="4">
        <f>IF(K385&lt;&gt;"Yes",0,P385*Sales_Tax_Settings!$B$8)</f>
        <v>0</v>
      </c>
      <c r="R385" s="4">
        <f>IF(K385&lt;&gt;"Yes",0,P385*Sales_Tax_Settings!$B$9)</f>
        <v>0</v>
      </c>
      <c r="S385" s="4">
        <f t="shared" si="41"/>
        <v>0</v>
      </c>
    </row>
    <row r="386" spans="1:19" x14ac:dyDescent="0.3">
      <c r="A386" t="str">
        <f>IF(Expense_Input!A386="","",Expense_Input!A386)</f>
        <v/>
      </c>
      <c r="B386" t="str">
        <f>IF(Expense_Input!B386="","",Expense_Input!B386)</f>
        <v/>
      </c>
      <c r="C386" t="str">
        <f t="shared" si="35"/>
        <v/>
      </c>
      <c r="D386" t="str">
        <f>IF(Expense_Input!C386="","",Expense_Input!C386)</f>
        <v/>
      </c>
      <c r="E386" s="4" t="str">
        <f>IF(Expense_Input!D386="","",Expense_Input!D386)</f>
        <v/>
      </c>
      <c r="F386" t="str">
        <f>IF(Expense_Input!E386="","",Expense_Input!E386)</f>
        <v/>
      </c>
      <c r="G386" t="str">
        <f>IF(Expense_Input!H386="","",Expense_Input!H386)</f>
        <v/>
      </c>
      <c r="H386" t="str">
        <f>IF(Expense_Input!I386="","Auto",Expense_Input!I386)</f>
        <v>Auto</v>
      </c>
      <c r="I386" t="str">
        <f>IF(F386="","",IFERROR(VLOOKUP(F386,Sales_Tax_Settings!$A$15:$B$27,2,FALSE),"Tax Unknown"))</f>
        <v/>
      </c>
      <c r="J386" t="str">
        <f t="shared" si="36"/>
        <v/>
      </c>
      <c r="K386" t="str">
        <f>IF(AND(Sales_Tax_Settings!$B$5="Yes",G386="Personal Expense",J386="Taxable"),"Yes","No")</f>
        <v>No</v>
      </c>
      <c r="L386" s="4">
        <f t="shared" si="37"/>
        <v>0</v>
      </c>
      <c r="M386" s="4">
        <f t="shared" si="38"/>
        <v>0</v>
      </c>
      <c r="N386" s="4">
        <f t="shared" si="39"/>
        <v>0</v>
      </c>
      <c r="O386" s="4">
        <f t="shared" si="40"/>
        <v>0</v>
      </c>
      <c r="P386" s="4">
        <f>IF(K386&lt;&gt;"Yes",0,IF(Sales_Tax_Settings!$B$6="Yes",E386/(1+Sales_Tax_Settings!$B$10),E386))</f>
        <v>0</v>
      </c>
      <c r="Q386" s="4">
        <f>IF(K386&lt;&gt;"Yes",0,P386*Sales_Tax_Settings!$B$8)</f>
        <v>0</v>
      </c>
      <c r="R386" s="4">
        <f>IF(K386&lt;&gt;"Yes",0,P386*Sales_Tax_Settings!$B$9)</f>
        <v>0</v>
      </c>
      <c r="S386" s="4">
        <f t="shared" si="41"/>
        <v>0</v>
      </c>
    </row>
    <row r="387" spans="1:19" x14ac:dyDescent="0.3">
      <c r="A387" t="str">
        <f>IF(Expense_Input!A387="","",Expense_Input!A387)</f>
        <v/>
      </c>
      <c r="B387" t="str">
        <f>IF(Expense_Input!B387="","",Expense_Input!B387)</f>
        <v/>
      </c>
      <c r="C387" t="str">
        <f t="shared" si="35"/>
        <v/>
      </c>
      <c r="D387" t="str">
        <f>IF(Expense_Input!C387="","",Expense_Input!C387)</f>
        <v/>
      </c>
      <c r="E387" s="4" t="str">
        <f>IF(Expense_Input!D387="","",Expense_Input!D387)</f>
        <v/>
      </c>
      <c r="F387" t="str">
        <f>IF(Expense_Input!E387="","",Expense_Input!E387)</f>
        <v/>
      </c>
      <c r="G387" t="str">
        <f>IF(Expense_Input!H387="","",Expense_Input!H387)</f>
        <v/>
      </c>
      <c r="H387" t="str">
        <f>IF(Expense_Input!I387="","Auto",Expense_Input!I387)</f>
        <v>Auto</v>
      </c>
      <c r="I387" t="str">
        <f>IF(F387="","",IFERROR(VLOOKUP(F387,Sales_Tax_Settings!$A$15:$B$27,2,FALSE),"Tax Unknown"))</f>
        <v/>
      </c>
      <c r="J387" t="str">
        <f t="shared" si="36"/>
        <v/>
      </c>
      <c r="K387" t="str">
        <f>IF(AND(Sales_Tax_Settings!$B$5="Yes",G387="Personal Expense",J387="Taxable"),"Yes","No")</f>
        <v>No</v>
      </c>
      <c r="L387" s="4">
        <f t="shared" si="37"/>
        <v>0</v>
      </c>
      <c r="M387" s="4">
        <f t="shared" si="38"/>
        <v>0</v>
      </c>
      <c r="N387" s="4">
        <f t="shared" si="39"/>
        <v>0</v>
      </c>
      <c r="O387" s="4">
        <f t="shared" si="40"/>
        <v>0</v>
      </c>
      <c r="P387" s="4">
        <f>IF(K387&lt;&gt;"Yes",0,IF(Sales_Tax_Settings!$B$6="Yes",E387/(1+Sales_Tax_Settings!$B$10),E387))</f>
        <v>0</v>
      </c>
      <c r="Q387" s="4">
        <f>IF(K387&lt;&gt;"Yes",0,P387*Sales_Tax_Settings!$B$8)</f>
        <v>0</v>
      </c>
      <c r="R387" s="4">
        <f>IF(K387&lt;&gt;"Yes",0,P387*Sales_Tax_Settings!$B$9)</f>
        <v>0</v>
      </c>
      <c r="S387" s="4">
        <f t="shared" si="41"/>
        <v>0</v>
      </c>
    </row>
    <row r="388" spans="1:19" x14ac:dyDescent="0.3">
      <c r="A388" t="str">
        <f>IF(Expense_Input!A388="","",Expense_Input!A388)</f>
        <v/>
      </c>
      <c r="B388" t="str">
        <f>IF(Expense_Input!B388="","",Expense_Input!B388)</f>
        <v/>
      </c>
      <c r="C388" t="str">
        <f t="shared" ref="C388:C451" si="42">IF(B388="","",TEXT(B388,"yyyy-mm"))</f>
        <v/>
      </c>
      <c r="D388" t="str">
        <f>IF(Expense_Input!C388="","",Expense_Input!C388)</f>
        <v/>
      </c>
      <c r="E388" s="4" t="str">
        <f>IF(Expense_Input!D388="","",Expense_Input!D388)</f>
        <v/>
      </c>
      <c r="F388" t="str">
        <f>IF(Expense_Input!E388="","",Expense_Input!E388)</f>
        <v/>
      </c>
      <c r="G388" t="str">
        <f>IF(Expense_Input!H388="","",Expense_Input!H388)</f>
        <v/>
      </c>
      <c r="H388" t="str">
        <f>IF(Expense_Input!I388="","Auto",Expense_Input!I388)</f>
        <v>Auto</v>
      </c>
      <c r="I388" t="str">
        <f>IF(F388="","",IFERROR(VLOOKUP(F388,Sales_Tax_Settings!$A$15:$B$27,2,FALSE),"Tax Unknown"))</f>
        <v/>
      </c>
      <c r="J388" t="str">
        <f t="shared" ref="J388:J451" si="43">IF(D388="","",IF(H388="Auto",I388,H388))</f>
        <v/>
      </c>
      <c r="K388" t="str">
        <f>IF(AND(Sales_Tax_Settings!$B$5="Yes",G388="Personal Expense",J388="Taxable"),"Yes","No")</f>
        <v>No</v>
      </c>
      <c r="L388" s="4">
        <f t="shared" ref="L388:L451" si="44">IF(K388="Yes",E388,0)</f>
        <v>0</v>
      </c>
      <c r="M388" s="4">
        <f t="shared" ref="M388:M451" si="45">IF(AND(G388="Personal Expense",J388="Zero-rated"),E388,0)</f>
        <v>0</v>
      </c>
      <c r="N388" s="4">
        <f t="shared" ref="N388:N451" si="46">IF(AND(G388="Personal Expense",J388="Exempt"),E388,0)</f>
        <v>0</v>
      </c>
      <c r="O388" s="4">
        <f t="shared" ref="O388:O451" si="47">IF(AND(G388="Personal Expense",OR(J388="Tax Unknown",J388="Not Applicable")),E388,0)</f>
        <v>0</v>
      </c>
      <c r="P388" s="4">
        <f>IF(K388&lt;&gt;"Yes",0,IF(Sales_Tax_Settings!$B$6="Yes",E388/(1+Sales_Tax_Settings!$B$10),E388))</f>
        <v>0</v>
      </c>
      <c r="Q388" s="4">
        <f>IF(K388&lt;&gt;"Yes",0,P388*Sales_Tax_Settings!$B$8)</f>
        <v>0</v>
      </c>
      <c r="R388" s="4">
        <f>IF(K388&lt;&gt;"Yes",0,P388*Sales_Tax_Settings!$B$9)</f>
        <v>0</v>
      </c>
      <c r="S388" s="4">
        <f t="shared" ref="S388:S451" si="48">Q388+R388</f>
        <v>0</v>
      </c>
    </row>
    <row r="389" spans="1:19" x14ac:dyDescent="0.3">
      <c r="A389" t="str">
        <f>IF(Expense_Input!A389="","",Expense_Input!A389)</f>
        <v/>
      </c>
      <c r="B389" t="str">
        <f>IF(Expense_Input!B389="","",Expense_Input!B389)</f>
        <v/>
      </c>
      <c r="C389" t="str">
        <f t="shared" si="42"/>
        <v/>
      </c>
      <c r="D389" t="str">
        <f>IF(Expense_Input!C389="","",Expense_Input!C389)</f>
        <v/>
      </c>
      <c r="E389" s="4" t="str">
        <f>IF(Expense_Input!D389="","",Expense_Input!D389)</f>
        <v/>
      </c>
      <c r="F389" t="str">
        <f>IF(Expense_Input!E389="","",Expense_Input!E389)</f>
        <v/>
      </c>
      <c r="G389" t="str">
        <f>IF(Expense_Input!H389="","",Expense_Input!H389)</f>
        <v/>
      </c>
      <c r="H389" t="str">
        <f>IF(Expense_Input!I389="","Auto",Expense_Input!I389)</f>
        <v>Auto</v>
      </c>
      <c r="I389" t="str">
        <f>IF(F389="","",IFERROR(VLOOKUP(F389,Sales_Tax_Settings!$A$15:$B$27,2,FALSE),"Tax Unknown"))</f>
        <v/>
      </c>
      <c r="J389" t="str">
        <f t="shared" si="43"/>
        <v/>
      </c>
      <c r="K389" t="str">
        <f>IF(AND(Sales_Tax_Settings!$B$5="Yes",G389="Personal Expense",J389="Taxable"),"Yes","No")</f>
        <v>No</v>
      </c>
      <c r="L389" s="4">
        <f t="shared" si="44"/>
        <v>0</v>
      </c>
      <c r="M389" s="4">
        <f t="shared" si="45"/>
        <v>0</v>
      </c>
      <c r="N389" s="4">
        <f t="shared" si="46"/>
        <v>0</v>
      </c>
      <c r="O389" s="4">
        <f t="shared" si="47"/>
        <v>0</v>
      </c>
      <c r="P389" s="4">
        <f>IF(K389&lt;&gt;"Yes",0,IF(Sales_Tax_Settings!$B$6="Yes",E389/(1+Sales_Tax_Settings!$B$10),E389))</f>
        <v>0</v>
      </c>
      <c r="Q389" s="4">
        <f>IF(K389&lt;&gt;"Yes",0,P389*Sales_Tax_Settings!$B$8)</f>
        <v>0</v>
      </c>
      <c r="R389" s="4">
        <f>IF(K389&lt;&gt;"Yes",0,P389*Sales_Tax_Settings!$B$9)</f>
        <v>0</v>
      </c>
      <c r="S389" s="4">
        <f t="shared" si="48"/>
        <v>0</v>
      </c>
    </row>
    <row r="390" spans="1:19" x14ac:dyDescent="0.3">
      <c r="A390" t="str">
        <f>IF(Expense_Input!A390="","",Expense_Input!A390)</f>
        <v/>
      </c>
      <c r="B390" t="str">
        <f>IF(Expense_Input!B390="","",Expense_Input!B390)</f>
        <v/>
      </c>
      <c r="C390" t="str">
        <f t="shared" si="42"/>
        <v/>
      </c>
      <c r="D390" t="str">
        <f>IF(Expense_Input!C390="","",Expense_Input!C390)</f>
        <v/>
      </c>
      <c r="E390" s="4" t="str">
        <f>IF(Expense_Input!D390="","",Expense_Input!D390)</f>
        <v/>
      </c>
      <c r="F390" t="str">
        <f>IF(Expense_Input!E390="","",Expense_Input!E390)</f>
        <v/>
      </c>
      <c r="G390" t="str">
        <f>IF(Expense_Input!H390="","",Expense_Input!H390)</f>
        <v/>
      </c>
      <c r="H390" t="str">
        <f>IF(Expense_Input!I390="","Auto",Expense_Input!I390)</f>
        <v>Auto</v>
      </c>
      <c r="I390" t="str">
        <f>IF(F390="","",IFERROR(VLOOKUP(F390,Sales_Tax_Settings!$A$15:$B$27,2,FALSE),"Tax Unknown"))</f>
        <v/>
      </c>
      <c r="J390" t="str">
        <f t="shared" si="43"/>
        <v/>
      </c>
      <c r="K390" t="str">
        <f>IF(AND(Sales_Tax_Settings!$B$5="Yes",G390="Personal Expense",J390="Taxable"),"Yes","No")</f>
        <v>No</v>
      </c>
      <c r="L390" s="4">
        <f t="shared" si="44"/>
        <v>0</v>
      </c>
      <c r="M390" s="4">
        <f t="shared" si="45"/>
        <v>0</v>
      </c>
      <c r="N390" s="4">
        <f t="shared" si="46"/>
        <v>0</v>
      </c>
      <c r="O390" s="4">
        <f t="shared" si="47"/>
        <v>0</v>
      </c>
      <c r="P390" s="4">
        <f>IF(K390&lt;&gt;"Yes",0,IF(Sales_Tax_Settings!$B$6="Yes",E390/(1+Sales_Tax_Settings!$B$10),E390))</f>
        <v>0</v>
      </c>
      <c r="Q390" s="4">
        <f>IF(K390&lt;&gt;"Yes",0,P390*Sales_Tax_Settings!$B$8)</f>
        <v>0</v>
      </c>
      <c r="R390" s="4">
        <f>IF(K390&lt;&gt;"Yes",0,P390*Sales_Tax_Settings!$B$9)</f>
        <v>0</v>
      </c>
      <c r="S390" s="4">
        <f t="shared" si="48"/>
        <v>0</v>
      </c>
    </row>
    <row r="391" spans="1:19" x14ac:dyDescent="0.3">
      <c r="A391" t="str">
        <f>IF(Expense_Input!A391="","",Expense_Input!A391)</f>
        <v/>
      </c>
      <c r="B391" t="str">
        <f>IF(Expense_Input!B391="","",Expense_Input!B391)</f>
        <v/>
      </c>
      <c r="C391" t="str">
        <f t="shared" si="42"/>
        <v/>
      </c>
      <c r="D391" t="str">
        <f>IF(Expense_Input!C391="","",Expense_Input!C391)</f>
        <v/>
      </c>
      <c r="E391" s="4" t="str">
        <f>IF(Expense_Input!D391="","",Expense_Input!D391)</f>
        <v/>
      </c>
      <c r="F391" t="str">
        <f>IF(Expense_Input!E391="","",Expense_Input!E391)</f>
        <v/>
      </c>
      <c r="G391" t="str">
        <f>IF(Expense_Input!H391="","",Expense_Input!H391)</f>
        <v/>
      </c>
      <c r="H391" t="str">
        <f>IF(Expense_Input!I391="","Auto",Expense_Input!I391)</f>
        <v>Auto</v>
      </c>
      <c r="I391" t="str">
        <f>IF(F391="","",IFERROR(VLOOKUP(F391,Sales_Tax_Settings!$A$15:$B$27,2,FALSE),"Tax Unknown"))</f>
        <v/>
      </c>
      <c r="J391" t="str">
        <f t="shared" si="43"/>
        <v/>
      </c>
      <c r="K391" t="str">
        <f>IF(AND(Sales_Tax_Settings!$B$5="Yes",G391="Personal Expense",J391="Taxable"),"Yes","No")</f>
        <v>No</v>
      </c>
      <c r="L391" s="4">
        <f t="shared" si="44"/>
        <v>0</v>
      </c>
      <c r="M391" s="4">
        <f t="shared" si="45"/>
        <v>0</v>
      </c>
      <c r="N391" s="4">
        <f t="shared" si="46"/>
        <v>0</v>
      </c>
      <c r="O391" s="4">
        <f t="shared" si="47"/>
        <v>0</v>
      </c>
      <c r="P391" s="4">
        <f>IF(K391&lt;&gt;"Yes",0,IF(Sales_Tax_Settings!$B$6="Yes",E391/(1+Sales_Tax_Settings!$B$10),E391))</f>
        <v>0</v>
      </c>
      <c r="Q391" s="4">
        <f>IF(K391&lt;&gt;"Yes",0,P391*Sales_Tax_Settings!$B$8)</f>
        <v>0</v>
      </c>
      <c r="R391" s="4">
        <f>IF(K391&lt;&gt;"Yes",0,P391*Sales_Tax_Settings!$B$9)</f>
        <v>0</v>
      </c>
      <c r="S391" s="4">
        <f t="shared" si="48"/>
        <v>0</v>
      </c>
    </row>
    <row r="392" spans="1:19" x14ac:dyDescent="0.3">
      <c r="A392" t="str">
        <f>IF(Expense_Input!A392="","",Expense_Input!A392)</f>
        <v/>
      </c>
      <c r="B392" t="str">
        <f>IF(Expense_Input!B392="","",Expense_Input!B392)</f>
        <v/>
      </c>
      <c r="C392" t="str">
        <f t="shared" si="42"/>
        <v/>
      </c>
      <c r="D392" t="str">
        <f>IF(Expense_Input!C392="","",Expense_Input!C392)</f>
        <v/>
      </c>
      <c r="E392" s="4" t="str">
        <f>IF(Expense_Input!D392="","",Expense_Input!D392)</f>
        <v/>
      </c>
      <c r="F392" t="str">
        <f>IF(Expense_Input!E392="","",Expense_Input!E392)</f>
        <v/>
      </c>
      <c r="G392" t="str">
        <f>IF(Expense_Input!H392="","",Expense_Input!H392)</f>
        <v/>
      </c>
      <c r="H392" t="str">
        <f>IF(Expense_Input!I392="","Auto",Expense_Input!I392)</f>
        <v>Auto</v>
      </c>
      <c r="I392" t="str">
        <f>IF(F392="","",IFERROR(VLOOKUP(F392,Sales_Tax_Settings!$A$15:$B$27,2,FALSE),"Tax Unknown"))</f>
        <v/>
      </c>
      <c r="J392" t="str">
        <f t="shared" si="43"/>
        <v/>
      </c>
      <c r="K392" t="str">
        <f>IF(AND(Sales_Tax_Settings!$B$5="Yes",G392="Personal Expense",J392="Taxable"),"Yes","No")</f>
        <v>No</v>
      </c>
      <c r="L392" s="4">
        <f t="shared" si="44"/>
        <v>0</v>
      </c>
      <c r="M392" s="4">
        <f t="shared" si="45"/>
        <v>0</v>
      </c>
      <c r="N392" s="4">
        <f t="shared" si="46"/>
        <v>0</v>
      </c>
      <c r="O392" s="4">
        <f t="shared" si="47"/>
        <v>0</v>
      </c>
      <c r="P392" s="4">
        <f>IF(K392&lt;&gt;"Yes",0,IF(Sales_Tax_Settings!$B$6="Yes",E392/(1+Sales_Tax_Settings!$B$10),E392))</f>
        <v>0</v>
      </c>
      <c r="Q392" s="4">
        <f>IF(K392&lt;&gt;"Yes",0,P392*Sales_Tax_Settings!$B$8)</f>
        <v>0</v>
      </c>
      <c r="R392" s="4">
        <f>IF(K392&lt;&gt;"Yes",0,P392*Sales_Tax_Settings!$B$9)</f>
        <v>0</v>
      </c>
      <c r="S392" s="4">
        <f t="shared" si="48"/>
        <v>0</v>
      </c>
    </row>
    <row r="393" spans="1:19" x14ac:dyDescent="0.3">
      <c r="A393" t="str">
        <f>IF(Expense_Input!A393="","",Expense_Input!A393)</f>
        <v/>
      </c>
      <c r="B393" t="str">
        <f>IF(Expense_Input!B393="","",Expense_Input!B393)</f>
        <v/>
      </c>
      <c r="C393" t="str">
        <f t="shared" si="42"/>
        <v/>
      </c>
      <c r="D393" t="str">
        <f>IF(Expense_Input!C393="","",Expense_Input!C393)</f>
        <v/>
      </c>
      <c r="E393" s="4" t="str">
        <f>IF(Expense_Input!D393="","",Expense_Input!D393)</f>
        <v/>
      </c>
      <c r="F393" t="str">
        <f>IF(Expense_Input!E393="","",Expense_Input!E393)</f>
        <v/>
      </c>
      <c r="G393" t="str">
        <f>IF(Expense_Input!H393="","",Expense_Input!H393)</f>
        <v/>
      </c>
      <c r="H393" t="str">
        <f>IF(Expense_Input!I393="","Auto",Expense_Input!I393)</f>
        <v>Auto</v>
      </c>
      <c r="I393" t="str">
        <f>IF(F393="","",IFERROR(VLOOKUP(F393,Sales_Tax_Settings!$A$15:$B$27,2,FALSE),"Tax Unknown"))</f>
        <v/>
      </c>
      <c r="J393" t="str">
        <f t="shared" si="43"/>
        <v/>
      </c>
      <c r="K393" t="str">
        <f>IF(AND(Sales_Tax_Settings!$B$5="Yes",G393="Personal Expense",J393="Taxable"),"Yes","No")</f>
        <v>No</v>
      </c>
      <c r="L393" s="4">
        <f t="shared" si="44"/>
        <v>0</v>
      </c>
      <c r="M393" s="4">
        <f t="shared" si="45"/>
        <v>0</v>
      </c>
      <c r="N393" s="4">
        <f t="shared" si="46"/>
        <v>0</v>
      </c>
      <c r="O393" s="4">
        <f t="shared" si="47"/>
        <v>0</v>
      </c>
      <c r="P393" s="4">
        <f>IF(K393&lt;&gt;"Yes",0,IF(Sales_Tax_Settings!$B$6="Yes",E393/(1+Sales_Tax_Settings!$B$10),E393))</f>
        <v>0</v>
      </c>
      <c r="Q393" s="4">
        <f>IF(K393&lt;&gt;"Yes",0,P393*Sales_Tax_Settings!$B$8)</f>
        <v>0</v>
      </c>
      <c r="R393" s="4">
        <f>IF(K393&lt;&gt;"Yes",0,P393*Sales_Tax_Settings!$B$9)</f>
        <v>0</v>
      </c>
      <c r="S393" s="4">
        <f t="shared" si="48"/>
        <v>0</v>
      </c>
    </row>
    <row r="394" spans="1:19" x14ac:dyDescent="0.3">
      <c r="A394" t="str">
        <f>IF(Expense_Input!A394="","",Expense_Input!A394)</f>
        <v/>
      </c>
      <c r="B394" t="str">
        <f>IF(Expense_Input!B394="","",Expense_Input!B394)</f>
        <v/>
      </c>
      <c r="C394" t="str">
        <f t="shared" si="42"/>
        <v/>
      </c>
      <c r="D394" t="str">
        <f>IF(Expense_Input!C394="","",Expense_Input!C394)</f>
        <v/>
      </c>
      <c r="E394" s="4" t="str">
        <f>IF(Expense_Input!D394="","",Expense_Input!D394)</f>
        <v/>
      </c>
      <c r="F394" t="str">
        <f>IF(Expense_Input!E394="","",Expense_Input!E394)</f>
        <v/>
      </c>
      <c r="G394" t="str">
        <f>IF(Expense_Input!H394="","",Expense_Input!H394)</f>
        <v/>
      </c>
      <c r="H394" t="str">
        <f>IF(Expense_Input!I394="","Auto",Expense_Input!I394)</f>
        <v>Auto</v>
      </c>
      <c r="I394" t="str">
        <f>IF(F394="","",IFERROR(VLOOKUP(F394,Sales_Tax_Settings!$A$15:$B$27,2,FALSE),"Tax Unknown"))</f>
        <v/>
      </c>
      <c r="J394" t="str">
        <f t="shared" si="43"/>
        <v/>
      </c>
      <c r="K394" t="str">
        <f>IF(AND(Sales_Tax_Settings!$B$5="Yes",G394="Personal Expense",J394="Taxable"),"Yes","No")</f>
        <v>No</v>
      </c>
      <c r="L394" s="4">
        <f t="shared" si="44"/>
        <v>0</v>
      </c>
      <c r="M394" s="4">
        <f t="shared" si="45"/>
        <v>0</v>
      </c>
      <c r="N394" s="4">
        <f t="shared" si="46"/>
        <v>0</v>
      </c>
      <c r="O394" s="4">
        <f t="shared" si="47"/>
        <v>0</v>
      </c>
      <c r="P394" s="4">
        <f>IF(K394&lt;&gt;"Yes",0,IF(Sales_Tax_Settings!$B$6="Yes",E394/(1+Sales_Tax_Settings!$B$10),E394))</f>
        <v>0</v>
      </c>
      <c r="Q394" s="4">
        <f>IF(K394&lt;&gt;"Yes",0,P394*Sales_Tax_Settings!$B$8)</f>
        <v>0</v>
      </c>
      <c r="R394" s="4">
        <f>IF(K394&lt;&gt;"Yes",0,P394*Sales_Tax_Settings!$B$9)</f>
        <v>0</v>
      </c>
      <c r="S394" s="4">
        <f t="shared" si="48"/>
        <v>0</v>
      </c>
    </row>
    <row r="395" spans="1:19" x14ac:dyDescent="0.3">
      <c r="A395" t="str">
        <f>IF(Expense_Input!A395="","",Expense_Input!A395)</f>
        <v/>
      </c>
      <c r="B395" t="str">
        <f>IF(Expense_Input!B395="","",Expense_Input!B395)</f>
        <v/>
      </c>
      <c r="C395" t="str">
        <f t="shared" si="42"/>
        <v/>
      </c>
      <c r="D395" t="str">
        <f>IF(Expense_Input!C395="","",Expense_Input!C395)</f>
        <v/>
      </c>
      <c r="E395" s="4" t="str">
        <f>IF(Expense_Input!D395="","",Expense_Input!D395)</f>
        <v/>
      </c>
      <c r="F395" t="str">
        <f>IF(Expense_Input!E395="","",Expense_Input!E395)</f>
        <v/>
      </c>
      <c r="G395" t="str">
        <f>IF(Expense_Input!H395="","",Expense_Input!H395)</f>
        <v/>
      </c>
      <c r="H395" t="str">
        <f>IF(Expense_Input!I395="","Auto",Expense_Input!I395)</f>
        <v>Auto</v>
      </c>
      <c r="I395" t="str">
        <f>IF(F395="","",IFERROR(VLOOKUP(F395,Sales_Tax_Settings!$A$15:$B$27,2,FALSE),"Tax Unknown"))</f>
        <v/>
      </c>
      <c r="J395" t="str">
        <f t="shared" si="43"/>
        <v/>
      </c>
      <c r="K395" t="str">
        <f>IF(AND(Sales_Tax_Settings!$B$5="Yes",G395="Personal Expense",J395="Taxable"),"Yes","No")</f>
        <v>No</v>
      </c>
      <c r="L395" s="4">
        <f t="shared" si="44"/>
        <v>0</v>
      </c>
      <c r="M395" s="4">
        <f t="shared" si="45"/>
        <v>0</v>
      </c>
      <c r="N395" s="4">
        <f t="shared" si="46"/>
        <v>0</v>
      </c>
      <c r="O395" s="4">
        <f t="shared" si="47"/>
        <v>0</v>
      </c>
      <c r="P395" s="4">
        <f>IF(K395&lt;&gt;"Yes",0,IF(Sales_Tax_Settings!$B$6="Yes",E395/(1+Sales_Tax_Settings!$B$10),E395))</f>
        <v>0</v>
      </c>
      <c r="Q395" s="4">
        <f>IF(K395&lt;&gt;"Yes",0,P395*Sales_Tax_Settings!$B$8)</f>
        <v>0</v>
      </c>
      <c r="R395" s="4">
        <f>IF(K395&lt;&gt;"Yes",0,P395*Sales_Tax_Settings!$B$9)</f>
        <v>0</v>
      </c>
      <c r="S395" s="4">
        <f t="shared" si="48"/>
        <v>0</v>
      </c>
    </row>
    <row r="396" spans="1:19" x14ac:dyDescent="0.3">
      <c r="A396" t="str">
        <f>IF(Expense_Input!A396="","",Expense_Input!A396)</f>
        <v/>
      </c>
      <c r="B396" t="str">
        <f>IF(Expense_Input!B396="","",Expense_Input!B396)</f>
        <v/>
      </c>
      <c r="C396" t="str">
        <f t="shared" si="42"/>
        <v/>
      </c>
      <c r="D396" t="str">
        <f>IF(Expense_Input!C396="","",Expense_Input!C396)</f>
        <v/>
      </c>
      <c r="E396" s="4" t="str">
        <f>IF(Expense_Input!D396="","",Expense_Input!D396)</f>
        <v/>
      </c>
      <c r="F396" t="str">
        <f>IF(Expense_Input!E396="","",Expense_Input!E396)</f>
        <v/>
      </c>
      <c r="G396" t="str">
        <f>IF(Expense_Input!H396="","",Expense_Input!H396)</f>
        <v/>
      </c>
      <c r="H396" t="str">
        <f>IF(Expense_Input!I396="","Auto",Expense_Input!I396)</f>
        <v>Auto</v>
      </c>
      <c r="I396" t="str">
        <f>IF(F396="","",IFERROR(VLOOKUP(F396,Sales_Tax_Settings!$A$15:$B$27,2,FALSE),"Tax Unknown"))</f>
        <v/>
      </c>
      <c r="J396" t="str">
        <f t="shared" si="43"/>
        <v/>
      </c>
      <c r="K396" t="str">
        <f>IF(AND(Sales_Tax_Settings!$B$5="Yes",G396="Personal Expense",J396="Taxable"),"Yes","No")</f>
        <v>No</v>
      </c>
      <c r="L396" s="4">
        <f t="shared" si="44"/>
        <v>0</v>
      </c>
      <c r="M396" s="4">
        <f t="shared" si="45"/>
        <v>0</v>
      </c>
      <c r="N396" s="4">
        <f t="shared" si="46"/>
        <v>0</v>
      </c>
      <c r="O396" s="4">
        <f t="shared" si="47"/>
        <v>0</v>
      </c>
      <c r="P396" s="4">
        <f>IF(K396&lt;&gt;"Yes",0,IF(Sales_Tax_Settings!$B$6="Yes",E396/(1+Sales_Tax_Settings!$B$10),E396))</f>
        <v>0</v>
      </c>
      <c r="Q396" s="4">
        <f>IF(K396&lt;&gt;"Yes",0,P396*Sales_Tax_Settings!$B$8)</f>
        <v>0</v>
      </c>
      <c r="R396" s="4">
        <f>IF(K396&lt;&gt;"Yes",0,P396*Sales_Tax_Settings!$B$9)</f>
        <v>0</v>
      </c>
      <c r="S396" s="4">
        <f t="shared" si="48"/>
        <v>0</v>
      </c>
    </row>
    <row r="397" spans="1:19" x14ac:dyDescent="0.3">
      <c r="A397" t="str">
        <f>IF(Expense_Input!A397="","",Expense_Input!A397)</f>
        <v/>
      </c>
      <c r="B397" t="str">
        <f>IF(Expense_Input!B397="","",Expense_Input!B397)</f>
        <v/>
      </c>
      <c r="C397" t="str">
        <f t="shared" si="42"/>
        <v/>
      </c>
      <c r="D397" t="str">
        <f>IF(Expense_Input!C397="","",Expense_Input!C397)</f>
        <v/>
      </c>
      <c r="E397" s="4" t="str">
        <f>IF(Expense_Input!D397="","",Expense_Input!D397)</f>
        <v/>
      </c>
      <c r="F397" t="str">
        <f>IF(Expense_Input!E397="","",Expense_Input!E397)</f>
        <v/>
      </c>
      <c r="G397" t="str">
        <f>IF(Expense_Input!H397="","",Expense_Input!H397)</f>
        <v/>
      </c>
      <c r="H397" t="str">
        <f>IF(Expense_Input!I397="","Auto",Expense_Input!I397)</f>
        <v>Auto</v>
      </c>
      <c r="I397" t="str">
        <f>IF(F397="","",IFERROR(VLOOKUP(F397,Sales_Tax_Settings!$A$15:$B$27,2,FALSE),"Tax Unknown"))</f>
        <v/>
      </c>
      <c r="J397" t="str">
        <f t="shared" si="43"/>
        <v/>
      </c>
      <c r="K397" t="str">
        <f>IF(AND(Sales_Tax_Settings!$B$5="Yes",G397="Personal Expense",J397="Taxable"),"Yes","No")</f>
        <v>No</v>
      </c>
      <c r="L397" s="4">
        <f t="shared" si="44"/>
        <v>0</v>
      </c>
      <c r="M397" s="4">
        <f t="shared" si="45"/>
        <v>0</v>
      </c>
      <c r="N397" s="4">
        <f t="shared" si="46"/>
        <v>0</v>
      </c>
      <c r="O397" s="4">
        <f t="shared" si="47"/>
        <v>0</v>
      </c>
      <c r="P397" s="4">
        <f>IF(K397&lt;&gt;"Yes",0,IF(Sales_Tax_Settings!$B$6="Yes",E397/(1+Sales_Tax_Settings!$B$10),E397))</f>
        <v>0</v>
      </c>
      <c r="Q397" s="4">
        <f>IF(K397&lt;&gt;"Yes",0,P397*Sales_Tax_Settings!$B$8)</f>
        <v>0</v>
      </c>
      <c r="R397" s="4">
        <f>IF(K397&lt;&gt;"Yes",0,P397*Sales_Tax_Settings!$B$9)</f>
        <v>0</v>
      </c>
      <c r="S397" s="4">
        <f t="shared" si="48"/>
        <v>0</v>
      </c>
    </row>
    <row r="398" spans="1:19" x14ac:dyDescent="0.3">
      <c r="A398" t="str">
        <f>IF(Expense_Input!A398="","",Expense_Input!A398)</f>
        <v/>
      </c>
      <c r="B398" t="str">
        <f>IF(Expense_Input!B398="","",Expense_Input!B398)</f>
        <v/>
      </c>
      <c r="C398" t="str">
        <f t="shared" si="42"/>
        <v/>
      </c>
      <c r="D398" t="str">
        <f>IF(Expense_Input!C398="","",Expense_Input!C398)</f>
        <v/>
      </c>
      <c r="E398" s="4" t="str">
        <f>IF(Expense_Input!D398="","",Expense_Input!D398)</f>
        <v/>
      </c>
      <c r="F398" t="str">
        <f>IF(Expense_Input!E398="","",Expense_Input!E398)</f>
        <v/>
      </c>
      <c r="G398" t="str">
        <f>IF(Expense_Input!H398="","",Expense_Input!H398)</f>
        <v/>
      </c>
      <c r="H398" t="str">
        <f>IF(Expense_Input!I398="","Auto",Expense_Input!I398)</f>
        <v>Auto</v>
      </c>
      <c r="I398" t="str">
        <f>IF(F398="","",IFERROR(VLOOKUP(F398,Sales_Tax_Settings!$A$15:$B$27,2,FALSE),"Tax Unknown"))</f>
        <v/>
      </c>
      <c r="J398" t="str">
        <f t="shared" si="43"/>
        <v/>
      </c>
      <c r="K398" t="str">
        <f>IF(AND(Sales_Tax_Settings!$B$5="Yes",G398="Personal Expense",J398="Taxable"),"Yes","No")</f>
        <v>No</v>
      </c>
      <c r="L398" s="4">
        <f t="shared" si="44"/>
        <v>0</v>
      </c>
      <c r="M398" s="4">
        <f t="shared" si="45"/>
        <v>0</v>
      </c>
      <c r="N398" s="4">
        <f t="shared" si="46"/>
        <v>0</v>
      </c>
      <c r="O398" s="4">
        <f t="shared" si="47"/>
        <v>0</v>
      </c>
      <c r="P398" s="4">
        <f>IF(K398&lt;&gt;"Yes",0,IF(Sales_Tax_Settings!$B$6="Yes",E398/(1+Sales_Tax_Settings!$B$10),E398))</f>
        <v>0</v>
      </c>
      <c r="Q398" s="4">
        <f>IF(K398&lt;&gt;"Yes",0,P398*Sales_Tax_Settings!$B$8)</f>
        <v>0</v>
      </c>
      <c r="R398" s="4">
        <f>IF(K398&lt;&gt;"Yes",0,P398*Sales_Tax_Settings!$B$9)</f>
        <v>0</v>
      </c>
      <c r="S398" s="4">
        <f t="shared" si="48"/>
        <v>0</v>
      </c>
    </row>
    <row r="399" spans="1:19" x14ac:dyDescent="0.3">
      <c r="A399" t="str">
        <f>IF(Expense_Input!A399="","",Expense_Input!A399)</f>
        <v/>
      </c>
      <c r="B399" t="str">
        <f>IF(Expense_Input!B399="","",Expense_Input!B399)</f>
        <v/>
      </c>
      <c r="C399" t="str">
        <f t="shared" si="42"/>
        <v/>
      </c>
      <c r="D399" t="str">
        <f>IF(Expense_Input!C399="","",Expense_Input!C399)</f>
        <v/>
      </c>
      <c r="E399" s="4" t="str">
        <f>IF(Expense_Input!D399="","",Expense_Input!D399)</f>
        <v/>
      </c>
      <c r="F399" t="str">
        <f>IF(Expense_Input!E399="","",Expense_Input!E399)</f>
        <v/>
      </c>
      <c r="G399" t="str">
        <f>IF(Expense_Input!H399="","",Expense_Input!H399)</f>
        <v/>
      </c>
      <c r="H399" t="str">
        <f>IF(Expense_Input!I399="","Auto",Expense_Input!I399)</f>
        <v>Auto</v>
      </c>
      <c r="I399" t="str">
        <f>IF(F399="","",IFERROR(VLOOKUP(F399,Sales_Tax_Settings!$A$15:$B$27,2,FALSE),"Tax Unknown"))</f>
        <v/>
      </c>
      <c r="J399" t="str">
        <f t="shared" si="43"/>
        <v/>
      </c>
      <c r="K399" t="str">
        <f>IF(AND(Sales_Tax_Settings!$B$5="Yes",G399="Personal Expense",J399="Taxable"),"Yes","No")</f>
        <v>No</v>
      </c>
      <c r="L399" s="4">
        <f t="shared" si="44"/>
        <v>0</v>
      </c>
      <c r="M399" s="4">
        <f t="shared" si="45"/>
        <v>0</v>
      </c>
      <c r="N399" s="4">
        <f t="shared" si="46"/>
        <v>0</v>
      </c>
      <c r="O399" s="4">
        <f t="shared" si="47"/>
        <v>0</v>
      </c>
      <c r="P399" s="4">
        <f>IF(K399&lt;&gt;"Yes",0,IF(Sales_Tax_Settings!$B$6="Yes",E399/(1+Sales_Tax_Settings!$B$10),E399))</f>
        <v>0</v>
      </c>
      <c r="Q399" s="4">
        <f>IF(K399&lt;&gt;"Yes",0,P399*Sales_Tax_Settings!$B$8)</f>
        <v>0</v>
      </c>
      <c r="R399" s="4">
        <f>IF(K399&lt;&gt;"Yes",0,P399*Sales_Tax_Settings!$B$9)</f>
        <v>0</v>
      </c>
      <c r="S399" s="4">
        <f t="shared" si="48"/>
        <v>0</v>
      </c>
    </row>
    <row r="400" spans="1:19" x14ac:dyDescent="0.3">
      <c r="A400" t="str">
        <f>IF(Expense_Input!A400="","",Expense_Input!A400)</f>
        <v/>
      </c>
      <c r="B400" t="str">
        <f>IF(Expense_Input!B400="","",Expense_Input!B400)</f>
        <v/>
      </c>
      <c r="C400" t="str">
        <f t="shared" si="42"/>
        <v/>
      </c>
      <c r="D400" t="str">
        <f>IF(Expense_Input!C400="","",Expense_Input!C400)</f>
        <v/>
      </c>
      <c r="E400" s="4" t="str">
        <f>IF(Expense_Input!D400="","",Expense_Input!D400)</f>
        <v/>
      </c>
      <c r="F400" t="str">
        <f>IF(Expense_Input!E400="","",Expense_Input!E400)</f>
        <v/>
      </c>
      <c r="G400" t="str">
        <f>IF(Expense_Input!H400="","",Expense_Input!H400)</f>
        <v/>
      </c>
      <c r="H400" t="str">
        <f>IF(Expense_Input!I400="","Auto",Expense_Input!I400)</f>
        <v>Auto</v>
      </c>
      <c r="I400" t="str">
        <f>IF(F400="","",IFERROR(VLOOKUP(F400,Sales_Tax_Settings!$A$15:$B$27,2,FALSE),"Tax Unknown"))</f>
        <v/>
      </c>
      <c r="J400" t="str">
        <f t="shared" si="43"/>
        <v/>
      </c>
      <c r="K400" t="str">
        <f>IF(AND(Sales_Tax_Settings!$B$5="Yes",G400="Personal Expense",J400="Taxable"),"Yes","No")</f>
        <v>No</v>
      </c>
      <c r="L400" s="4">
        <f t="shared" si="44"/>
        <v>0</v>
      </c>
      <c r="M400" s="4">
        <f t="shared" si="45"/>
        <v>0</v>
      </c>
      <c r="N400" s="4">
        <f t="shared" si="46"/>
        <v>0</v>
      </c>
      <c r="O400" s="4">
        <f t="shared" si="47"/>
        <v>0</v>
      </c>
      <c r="P400" s="4">
        <f>IF(K400&lt;&gt;"Yes",0,IF(Sales_Tax_Settings!$B$6="Yes",E400/(1+Sales_Tax_Settings!$B$10),E400))</f>
        <v>0</v>
      </c>
      <c r="Q400" s="4">
        <f>IF(K400&lt;&gt;"Yes",0,P400*Sales_Tax_Settings!$B$8)</f>
        <v>0</v>
      </c>
      <c r="R400" s="4">
        <f>IF(K400&lt;&gt;"Yes",0,P400*Sales_Tax_Settings!$B$9)</f>
        <v>0</v>
      </c>
      <c r="S400" s="4">
        <f t="shared" si="48"/>
        <v>0</v>
      </c>
    </row>
    <row r="401" spans="1:19" x14ac:dyDescent="0.3">
      <c r="A401" t="str">
        <f>IF(Expense_Input!A401="","",Expense_Input!A401)</f>
        <v/>
      </c>
      <c r="B401" t="str">
        <f>IF(Expense_Input!B401="","",Expense_Input!B401)</f>
        <v/>
      </c>
      <c r="C401" t="str">
        <f t="shared" si="42"/>
        <v/>
      </c>
      <c r="D401" t="str">
        <f>IF(Expense_Input!C401="","",Expense_Input!C401)</f>
        <v/>
      </c>
      <c r="E401" s="4" t="str">
        <f>IF(Expense_Input!D401="","",Expense_Input!D401)</f>
        <v/>
      </c>
      <c r="F401" t="str">
        <f>IF(Expense_Input!E401="","",Expense_Input!E401)</f>
        <v/>
      </c>
      <c r="G401" t="str">
        <f>IF(Expense_Input!H401="","",Expense_Input!H401)</f>
        <v/>
      </c>
      <c r="H401" t="str">
        <f>IF(Expense_Input!I401="","Auto",Expense_Input!I401)</f>
        <v>Auto</v>
      </c>
      <c r="I401" t="str">
        <f>IF(F401="","",IFERROR(VLOOKUP(F401,Sales_Tax_Settings!$A$15:$B$27,2,FALSE),"Tax Unknown"))</f>
        <v/>
      </c>
      <c r="J401" t="str">
        <f t="shared" si="43"/>
        <v/>
      </c>
      <c r="K401" t="str">
        <f>IF(AND(Sales_Tax_Settings!$B$5="Yes",G401="Personal Expense",J401="Taxable"),"Yes","No")</f>
        <v>No</v>
      </c>
      <c r="L401" s="4">
        <f t="shared" si="44"/>
        <v>0</v>
      </c>
      <c r="M401" s="4">
        <f t="shared" si="45"/>
        <v>0</v>
      </c>
      <c r="N401" s="4">
        <f t="shared" si="46"/>
        <v>0</v>
      </c>
      <c r="O401" s="4">
        <f t="shared" si="47"/>
        <v>0</v>
      </c>
      <c r="P401" s="4">
        <f>IF(K401&lt;&gt;"Yes",0,IF(Sales_Tax_Settings!$B$6="Yes",E401/(1+Sales_Tax_Settings!$B$10),E401))</f>
        <v>0</v>
      </c>
      <c r="Q401" s="4">
        <f>IF(K401&lt;&gt;"Yes",0,P401*Sales_Tax_Settings!$B$8)</f>
        <v>0</v>
      </c>
      <c r="R401" s="4">
        <f>IF(K401&lt;&gt;"Yes",0,P401*Sales_Tax_Settings!$B$9)</f>
        <v>0</v>
      </c>
      <c r="S401" s="4">
        <f t="shared" si="48"/>
        <v>0</v>
      </c>
    </row>
    <row r="402" spans="1:19" x14ac:dyDescent="0.3">
      <c r="A402" t="str">
        <f>IF(Expense_Input!A402="","",Expense_Input!A402)</f>
        <v/>
      </c>
      <c r="B402" t="str">
        <f>IF(Expense_Input!B402="","",Expense_Input!B402)</f>
        <v/>
      </c>
      <c r="C402" t="str">
        <f t="shared" si="42"/>
        <v/>
      </c>
      <c r="D402" t="str">
        <f>IF(Expense_Input!C402="","",Expense_Input!C402)</f>
        <v/>
      </c>
      <c r="E402" s="4" t="str">
        <f>IF(Expense_Input!D402="","",Expense_Input!D402)</f>
        <v/>
      </c>
      <c r="F402" t="str">
        <f>IF(Expense_Input!E402="","",Expense_Input!E402)</f>
        <v/>
      </c>
      <c r="G402" t="str">
        <f>IF(Expense_Input!H402="","",Expense_Input!H402)</f>
        <v/>
      </c>
      <c r="H402" t="str">
        <f>IF(Expense_Input!I402="","Auto",Expense_Input!I402)</f>
        <v>Auto</v>
      </c>
      <c r="I402" t="str">
        <f>IF(F402="","",IFERROR(VLOOKUP(F402,Sales_Tax_Settings!$A$15:$B$27,2,FALSE),"Tax Unknown"))</f>
        <v/>
      </c>
      <c r="J402" t="str">
        <f t="shared" si="43"/>
        <v/>
      </c>
      <c r="K402" t="str">
        <f>IF(AND(Sales_Tax_Settings!$B$5="Yes",G402="Personal Expense",J402="Taxable"),"Yes","No")</f>
        <v>No</v>
      </c>
      <c r="L402" s="4">
        <f t="shared" si="44"/>
        <v>0</v>
      </c>
      <c r="M402" s="4">
        <f t="shared" si="45"/>
        <v>0</v>
      </c>
      <c r="N402" s="4">
        <f t="shared" si="46"/>
        <v>0</v>
      </c>
      <c r="O402" s="4">
        <f t="shared" si="47"/>
        <v>0</v>
      </c>
      <c r="P402" s="4">
        <f>IF(K402&lt;&gt;"Yes",0,IF(Sales_Tax_Settings!$B$6="Yes",E402/(1+Sales_Tax_Settings!$B$10),E402))</f>
        <v>0</v>
      </c>
      <c r="Q402" s="4">
        <f>IF(K402&lt;&gt;"Yes",0,P402*Sales_Tax_Settings!$B$8)</f>
        <v>0</v>
      </c>
      <c r="R402" s="4">
        <f>IF(K402&lt;&gt;"Yes",0,P402*Sales_Tax_Settings!$B$9)</f>
        <v>0</v>
      </c>
      <c r="S402" s="4">
        <f t="shared" si="48"/>
        <v>0</v>
      </c>
    </row>
    <row r="403" spans="1:19" x14ac:dyDescent="0.3">
      <c r="A403" t="str">
        <f>IF(Expense_Input!A403="","",Expense_Input!A403)</f>
        <v/>
      </c>
      <c r="B403" t="str">
        <f>IF(Expense_Input!B403="","",Expense_Input!B403)</f>
        <v/>
      </c>
      <c r="C403" t="str">
        <f t="shared" si="42"/>
        <v/>
      </c>
      <c r="D403" t="str">
        <f>IF(Expense_Input!C403="","",Expense_Input!C403)</f>
        <v/>
      </c>
      <c r="E403" s="4" t="str">
        <f>IF(Expense_Input!D403="","",Expense_Input!D403)</f>
        <v/>
      </c>
      <c r="F403" t="str">
        <f>IF(Expense_Input!E403="","",Expense_Input!E403)</f>
        <v/>
      </c>
      <c r="G403" t="str">
        <f>IF(Expense_Input!H403="","",Expense_Input!H403)</f>
        <v/>
      </c>
      <c r="H403" t="str">
        <f>IF(Expense_Input!I403="","Auto",Expense_Input!I403)</f>
        <v>Auto</v>
      </c>
      <c r="I403" t="str">
        <f>IF(F403="","",IFERROR(VLOOKUP(F403,Sales_Tax_Settings!$A$15:$B$27,2,FALSE),"Tax Unknown"))</f>
        <v/>
      </c>
      <c r="J403" t="str">
        <f t="shared" si="43"/>
        <v/>
      </c>
      <c r="K403" t="str">
        <f>IF(AND(Sales_Tax_Settings!$B$5="Yes",G403="Personal Expense",J403="Taxable"),"Yes","No")</f>
        <v>No</v>
      </c>
      <c r="L403" s="4">
        <f t="shared" si="44"/>
        <v>0</v>
      </c>
      <c r="M403" s="4">
        <f t="shared" si="45"/>
        <v>0</v>
      </c>
      <c r="N403" s="4">
        <f t="shared" si="46"/>
        <v>0</v>
      </c>
      <c r="O403" s="4">
        <f t="shared" si="47"/>
        <v>0</v>
      </c>
      <c r="P403" s="4">
        <f>IF(K403&lt;&gt;"Yes",0,IF(Sales_Tax_Settings!$B$6="Yes",E403/(1+Sales_Tax_Settings!$B$10),E403))</f>
        <v>0</v>
      </c>
      <c r="Q403" s="4">
        <f>IF(K403&lt;&gt;"Yes",0,P403*Sales_Tax_Settings!$B$8)</f>
        <v>0</v>
      </c>
      <c r="R403" s="4">
        <f>IF(K403&lt;&gt;"Yes",0,P403*Sales_Tax_Settings!$B$9)</f>
        <v>0</v>
      </c>
      <c r="S403" s="4">
        <f t="shared" si="48"/>
        <v>0</v>
      </c>
    </row>
    <row r="404" spans="1:19" x14ac:dyDescent="0.3">
      <c r="A404" t="str">
        <f>IF(Expense_Input!A404="","",Expense_Input!A404)</f>
        <v/>
      </c>
      <c r="B404" t="str">
        <f>IF(Expense_Input!B404="","",Expense_Input!B404)</f>
        <v/>
      </c>
      <c r="C404" t="str">
        <f t="shared" si="42"/>
        <v/>
      </c>
      <c r="D404" t="str">
        <f>IF(Expense_Input!C404="","",Expense_Input!C404)</f>
        <v/>
      </c>
      <c r="E404" s="4" t="str">
        <f>IF(Expense_Input!D404="","",Expense_Input!D404)</f>
        <v/>
      </c>
      <c r="F404" t="str">
        <f>IF(Expense_Input!E404="","",Expense_Input!E404)</f>
        <v/>
      </c>
      <c r="G404" t="str">
        <f>IF(Expense_Input!H404="","",Expense_Input!H404)</f>
        <v/>
      </c>
      <c r="H404" t="str">
        <f>IF(Expense_Input!I404="","Auto",Expense_Input!I404)</f>
        <v>Auto</v>
      </c>
      <c r="I404" t="str">
        <f>IF(F404="","",IFERROR(VLOOKUP(F404,Sales_Tax_Settings!$A$15:$B$27,2,FALSE),"Tax Unknown"))</f>
        <v/>
      </c>
      <c r="J404" t="str">
        <f t="shared" si="43"/>
        <v/>
      </c>
      <c r="K404" t="str">
        <f>IF(AND(Sales_Tax_Settings!$B$5="Yes",G404="Personal Expense",J404="Taxable"),"Yes","No")</f>
        <v>No</v>
      </c>
      <c r="L404" s="4">
        <f t="shared" si="44"/>
        <v>0</v>
      </c>
      <c r="M404" s="4">
        <f t="shared" si="45"/>
        <v>0</v>
      </c>
      <c r="N404" s="4">
        <f t="shared" si="46"/>
        <v>0</v>
      </c>
      <c r="O404" s="4">
        <f t="shared" si="47"/>
        <v>0</v>
      </c>
      <c r="P404" s="4">
        <f>IF(K404&lt;&gt;"Yes",0,IF(Sales_Tax_Settings!$B$6="Yes",E404/(1+Sales_Tax_Settings!$B$10),E404))</f>
        <v>0</v>
      </c>
      <c r="Q404" s="4">
        <f>IF(K404&lt;&gt;"Yes",0,P404*Sales_Tax_Settings!$B$8)</f>
        <v>0</v>
      </c>
      <c r="R404" s="4">
        <f>IF(K404&lt;&gt;"Yes",0,P404*Sales_Tax_Settings!$B$9)</f>
        <v>0</v>
      </c>
      <c r="S404" s="4">
        <f t="shared" si="48"/>
        <v>0</v>
      </c>
    </row>
    <row r="405" spans="1:19" x14ac:dyDescent="0.3">
      <c r="A405" t="str">
        <f>IF(Expense_Input!A405="","",Expense_Input!A405)</f>
        <v/>
      </c>
      <c r="B405" t="str">
        <f>IF(Expense_Input!B405="","",Expense_Input!B405)</f>
        <v/>
      </c>
      <c r="C405" t="str">
        <f t="shared" si="42"/>
        <v/>
      </c>
      <c r="D405" t="str">
        <f>IF(Expense_Input!C405="","",Expense_Input!C405)</f>
        <v/>
      </c>
      <c r="E405" s="4" t="str">
        <f>IF(Expense_Input!D405="","",Expense_Input!D405)</f>
        <v/>
      </c>
      <c r="F405" t="str">
        <f>IF(Expense_Input!E405="","",Expense_Input!E405)</f>
        <v/>
      </c>
      <c r="G405" t="str">
        <f>IF(Expense_Input!H405="","",Expense_Input!H405)</f>
        <v/>
      </c>
      <c r="H405" t="str">
        <f>IF(Expense_Input!I405="","Auto",Expense_Input!I405)</f>
        <v>Auto</v>
      </c>
      <c r="I405" t="str">
        <f>IF(F405="","",IFERROR(VLOOKUP(F405,Sales_Tax_Settings!$A$15:$B$27,2,FALSE),"Tax Unknown"))</f>
        <v/>
      </c>
      <c r="J405" t="str">
        <f t="shared" si="43"/>
        <v/>
      </c>
      <c r="K405" t="str">
        <f>IF(AND(Sales_Tax_Settings!$B$5="Yes",G405="Personal Expense",J405="Taxable"),"Yes","No")</f>
        <v>No</v>
      </c>
      <c r="L405" s="4">
        <f t="shared" si="44"/>
        <v>0</v>
      </c>
      <c r="M405" s="4">
        <f t="shared" si="45"/>
        <v>0</v>
      </c>
      <c r="N405" s="4">
        <f t="shared" si="46"/>
        <v>0</v>
      </c>
      <c r="O405" s="4">
        <f t="shared" si="47"/>
        <v>0</v>
      </c>
      <c r="P405" s="4">
        <f>IF(K405&lt;&gt;"Yes",0,IF(Sales_Tax_Settings!$B$6="Yes",E405/(1+Sales_Tax_Settings!$B$10),E405))</f>
        <v>0</v>
      </c>
      <c r="Q405" s="4">
        <f>IF(K405&lt;&gt;"Yes",0,P405*Sales_Tax_Settings!$B$8)</f>
        <v>0</v>
      </c>
      <c r="R405" s="4">
        <f>IF(K405&lt;&gt;"Yes",0,P405*Sales_Tax_Settings!$B$9)</f>
        <v>0</v>
      </c>
      <c r="S405" s="4">
        <f t="shared" si="48"/>
        <v>0</v>
      </c>
    </row>
    <row r="406" spans="1:19" x14ac:dyDescent="0.3">
      <c r="A406" t="str">
        <f>IF(Expense_Input!A406="","",Expense_Input!A406)</f>
        <v/>
      </c>
      <c r="B406" t="str">
        <f>IF(Expense_Input!B406="","",Expense_Input!B406)</f>
        <v/>
      </c>
      <c r="C406" t="str">
        <f t="shared" si="42"/>
        <v/>
      </c>
      <c r="D406" t="str">
        <f>IF(Expense_Input!C406="","",Expense_Input!C406)</f>
        <v/>
      </c>
      <c r="E406" s="4" t="str">
        <f>IF(Expense_Input!D406="","",Expense_Input!D406)</f>
        <v/>
      </c>
      <c r="F406" t="str">
        <f>IF(Expense_Input!E406="","",Expense_Input!E406)</f>
        <v/>
      </c>
      <c r="G406" t="str">
        <f>IF(Expense_Input!H406="","",Expense_Input!H406)</f>
        <v/>
      </c>
      <c r="H406" t="str">
        <f>IF(Expense_Input!I406="","Auto",Expense_Input!I406)</f>
        <v>Auto</v>
      </c>
      <c r="I406" t="str">
        <f>IF(F406="","",IFERROR(VLOOKUP(F406,Sales_Tax_Settings!$A$15:$B$27,2,FALSE),"Tax Unknown"))</f>
        <v/>
      </c>
      <c r="J406" t="str">
        <f t="shared" si="43"/>
        <v/>
      </c>
      <c r="K406" t="str">
        <f>IF(AND(Sales_Tax_Settings!$B$5="Yes",G406="Personal Expense",J406="Taxable"),"Yes","No")</f>
        <v>No</v>
      </c>
      <c r="L406" s="4">
        <f t="shared" si="44"/>
        <v>0</v>
      </c>
      <c r="M406" s="4">
        <f t="shared" si="45"/>
        <v>0</v>
      </c>
      <c r="N406" s="4">
        <f t="shared" si="46"/>
        <v>0</v>
      </c>
      <c r="O406" s="4">
        <f t="shared" si="47"/>
        <v>0</v>
      </c>
      <c r="P406" s="4">
        <f>IF(K406&lt;&gt;"Yes",0,IF(Sales_Tax_Settings!$B$6="Yes",E406/(1+Sales_Tax_Settings!$B$10),E406))</f>
        <v>0</v>
      </c>
      <c r="Q406" s="4">
        <f>IF(K406&lt;&gt;"Yes",0,P406*Sales_Tax_Settings!$B$8)</f>
        <v>0</v>
      </c>
      <c r="R406" s="4">
        <f>IF(K406&lt;&gt;"Yes",0,P406*Sales_Tax_Settings!$B$9)</f>
        <v>0</v>
      </c>
      <c r="S406" s="4">
        <f t="shared" si="48"/>
        <v>0</v>
      </c>
    </row>
    <row r="407" spans="1:19" x14ac:dyDescent="0.3">
      <c r="A407" t="str">
        <f>IF(Expense_Input!A407="","",Expense_Input!A407)</f>
        <v/>
      </c>
      <c r="B407" t="str">
        <f>IF(Expense_Input!B407="","",Expense_Input!B407)</f>
        <v/>
      </c>
      <c r="C407" t="str">
        <f t="shared" si="42"/>
        <v/>
      </c>
      <c r="D407" t="str">
        <f>IF(Expense_Input!C407="","",Expense_Input!C407)</f>
        <v/>
      </c>
      <c r="E407" s="4" t="str">
        <f>IF(Expense_Input!D407="","",Expense_Input!D407)</f>
        <v/>
      </c>
      <c r="F407" t="str">
        <f>IF(Expense_Input!E407="","",Expense_Input!E407)</f>
        <v/>
      </c>
      <c r="G407" t="str">
        <f>IF(Expense_Input!H407="","",Expense_Input!H407)</f>
        <v/>
      </c>
      <c r="H407" t="str">
        <f>IF(Expense_Input!I407="","Auto",Expense_Input!I407)</f>
        <v>Auto</v>
      </c>
      <c r="I407" t="str">
        <f>IF(F407="","",IFERROR(VLOOKUP(F407,Sales_Tax_Settings!$A$15:$B$27,2,FALSE),"Tax Unknown"))</f>
        <v/>
      </c>
      <c r="J407" t="str">
        <f t="shared" si="43"/>
        <v/>
      </c>
      <c r="K407" t="str">
        <f>IF(AND(Sales_Tax_Settings!$B$5="Yes",G407="Personal Expense",J407="Taxable"),"Yes","No")</f>
        <v>No</v>
      </c>
      <c r="L407" s="4">
        <f t="shared" si="44"/>
        <v>0</v>
      </c>
      <c r="M407" s="4">
        <f t="shared" si="45"/>
        <v>0</v>
      </c>
      <c r="N407" s="4">
        <f t="shared" si="46"/>
        <v>0</v>
      </c>
      <c r="O407" s="4">
        <f t="shared" si="47"/>
        <v>0</v>
      </c>
      <c r="P407" s="4">
        <f>IF(K407&lt;&gt;"Yes",0,IF(Sales_Tax_Settings!$B$6="Yes",E407/(1+Sales_Tax_Settings!$B$10),E407))</f>
        <v>0</v>
      </c>
      <c r="Q407" s="4">
        <f>IF(K407&lt;&gt;"Yes",0,P407*Sales_Tax_Settings!$B$8)</f>
        <v>0</v>
      </c>
      <c r="R407" s="4">
        <f>IF(K407&lt;&gt;"Yes",0,P407*Sales_Tax_Settings!$B$9)</f>
        <v>0</v>
      </c>
      <c r="S407" s="4">
        <f t="shared" si="48"/>
        <v>0</v>
      </c>
    </row>
    <row r="408" spans="1:19" x14ac:dyDescent="0.3">
      <c r="A408" t="str">
        <f>IF(Expense_Input!A408="","",Expense_Input!A408)</f>
        <v/>
      </c>
      <c r="B408" t="str">
        <f>IF(Expense_Input!B408="","",Expense_Input!B408)</f>
        <v/>
      </c>
      <c r="C408" t="str">
        <f t="shared" si="42"/>
        <v/>
      </c>
      <c r="D408" t="str">
        <f>IF(Expense_Input!C408="","",Expense_Input!C408)</f>
        <v/>
      </c>
      <c r="E408" s="4" t="str">
        <f>IF(Expense_Input!D408="","",Expense_Input!D408)</f>
        <v/>
      </c>
      <c r="F408" t="str">
        <f>IF(Expense_Input!E408="","",Expense_Input!E408)</f>
        <v/>
      </c>
      <c r="G408" t="str">
        <f>IF(Expense_Input!H408="","",Expense_Input!H408)</f>
        <v/>
      </c>
      <c r="H408" t="str">
        <f>IF(Expense_Input!I408="","Auto",Expense_Input!I408)</f>
        <v>Auto</v>
      </c>
      <c r="I408" t="str">
        <f>IF(F408="","",IFERROR(VLOOKUP(F408,Sales_Tax_Settings!$A$15:$B$27,2,FALSE),"Tax Unknown"))</f>
        <v/>
      </c>
      <c r="J408" t="str">
        <f t="shared" si="43"/>
        <v/>
      </c>
      <c r="K408" t="str">
        <f>IF(AND(Sales_Tax_Settings!$B$5="Yes",G408="Personal Expense",J408="Taxable"),"Yes","No")</f>
        <v>No</v>
      </c>
      <c r="L408" s="4">
        <f t="shared" si="44"/>
        <v>0</v>
      </c>
      <c r="M408" s="4">
        <f t="shared" si="45"/>
        <v>0</v>
      </c>
      <c r="N408" s="4">
        <f t="shared" si="46"/>
        <v>0</v>
      </c>
      <c r="O408" s="4">
        <f t="shared" si="47"/>
        <v>0</v>
      </c>
      <c r="P408" s="4">
        <f>IF(K408&lt;&gt;"Yes",0,IF(Sales_Tax_Settings!$B$6="Yes",E408/(1+Sales_Tax_Settings!$B$10),E408))</f>
        <v>0</v>
      </c>
      <c r="Q408" s="4">
        <f>IF(K408&lt;&gt;"Yes",0,P408*Sales_Tax_Settings!$B$8)</f>
        <v>0</v>
      </c>
      <c r="R408" s="4">
        <f>IF(K408&lt;&gt;"Yes",0,P408*Sales_Tax_Settings!$B$9)</f>
        <v>0</v>
      </c>
      <c r="S408" s="4">
        <f t="shared" si="48"/>
        <v>0</v>
      </c>
    </row>
    <row r="409" spans="1:19" x14ac:dyDescent="0.3">
      <c r="A409" t="str">
        <f>IF(Expense_Input!A409="","",Expense_Input!A409)</f>
        <v/>
      </c>
      <c r="B409" t="str">
        <f>IF(Expense_Input!B409="","",Expense_Input!B409)</f>
        <v/>
      </c>
      <c r="C409" t="str">
        <f t="shared" si="42"/>
        <v/>
      </c>
      <c r="D409" t="str">
        <f>IF(Expense_Input!C409="","",Expense_Input!C409)</f>
        <v/>
      </c>
      <c r="E409" s="4" t="str">
        <f>IF(Expense_Input!D409="","",Expense_Input!D409)</f>
        <v/>
      </c>
      <c r="F409" t="str">
        <f>IF(Expense_Input!E409="","",Expense_Input!E409)</f>
        <v/>
      </c>
      <c r="G409" t="str">
        <f>IF(Expense_Input!H409="","",Expense_Input!H409)</f>
        <v/>
      </c>
      <c r="H409" t="str">
        <f>IF(Expense_Input!I409="","Auto",Expense_Input!I409)</f>
        <v>Auto</v>
      </c>
      <c r="I409" t="str">
        <f>IF(F409="","",IFERROR(VLOOKUP(F409,Sales_Tax_Settings!$A$15:$B$27,2,FALSE),"Tax Unknown"))</f>
        <v/>
      </c>
      <c r="J409" t="str">
        <f t="shared" si="43"/>
        <v/>
      </c>
      <c r="K409" t="str">
        <f>IF(AND(Sales_Tax_Settings!$B$5="Yes",G409="Personal Expense",J409="Taxable"),"Yes","No")</f>
        <v>No</v>
      </c>
      <c r="L409" s="4">
        <f t="shared" si="44"/>
        <v>0</v>
      </c>
      <c r="M409" s="4">
        <f t="shared" si="45"/>
        <v>0</v>
      </c>
      <c r="N409" s="4">
        <f t="shared" si="46"/>
        <v>0</v>
      </c>
      <c r="O409" s="4">
        <f t="shared" si="47"/>
        <v>0</v>
      </c>
      <c r="P409" s="4">
        <f>IF(K409&lt;&gt;"Yes",0,IF(Sales_Tax_Settings!$B$6="Yes",E409/(1+Sales_Tax_Settings!$B$10),E409))</f>
        <v>0</v>
      </c>
      <c r="Q409" s="4">
        <f>IF(K409&lt;&gt;"Yes",0,P409*Sales_Tax_Settings!$B$8)</f>
        <v>0</v>
      </c>
      <c r="R409" s="4">
        <f>IF(K409&lt;&gt;"Yes",0,P409*Sales_Tax_Settings!$B$9)</f>
        <v>0</v>
      </c>
      <c r="S409" s="4">
        <f t="shared" si="48"/>
        <v>0</v>
      </c>
    </row>
    <row r="410" spans="1:19" x14ac:dyDescent="0.3">
      <c r="A410" t="str">
        <f>IF(Expense_Input!A410="","",Expense_Input!A410)</f>
        <v/>
      </c>
      <c r="B410" t="str">
        <f>IF(Expense_Input!B410="","",Expense_Input!B410)</f>
        <v/>
      </c>
      <c r="C410" t="str">
        <f t="shared" si="42"/>
        <v/>
      </c>
      <c r="D410" t="str">
        <f>IF(Expense_Input!C410="","",Expense_Input!C410)</f>
        <v/>
      </c>
      <c r="E410" s="4" t="str">
        <f>IF(Expense_Input!D410="","",Expense_Input!D410)</f>
        <v/>
      </c>
      <c r="F410" t="str">
        <f>IF(Expense_Input!E410="","",Expense_Input!E410)</f>
        <v/>
      </c>
      <c r="G410" t="str">
        <f>IF(Expense_Input!H410="","",Expense_Input!H410)</f>
        <v/>
      </c>
      <c r="H410" t="str">
        <f>IF(Expense_Input!I410="","Auto",Expense_Input!I410)</f>
        <v>Auto</v>
      </c>
      <c r="I410" t="str">
        <f>IF(F410="","",IFERROR(VLOOKUP(F410,Sales_Tax_Settings!$A$15:$B$27,2,FALSE),"Tax Unknown"))</f>
        <v/>
      </c>
      <c r="J410" t="str">
        <f t="shared" si="43"/>
        <v/>
      </c>
      <c r="K410" t="str">
        <f>IF(AND(Sales_Tax_Settings!$B$5="Yes",G410="Personal Expense",J410="Taxable"),"Yes","No")</f>
        <v>No</v>
      </c>
      <c r="L410" s="4">
        <f t="shared" si="44"/>
        <v>0</v>
      </c>
      <c r="M410" s="4">
        <f t="shared" si="45"/>
        <v>0</v>
      </c>
      <c r="N410" s="4">
        <f t="shared" si="46"/>
        <v>0</v>
      </c>
      <c r="O410" s="4">
        <f t="shared" si="47"/>
        <v>0</v>
      </c>
      <c r="P410" s="4">
        <f>IF(K410&lt;&gt;"Yes",0,IF(Sales_Tax_Settings!$B$6="Yes",E410/(1+Sales_Tax_Settings!$B$10),E410))</f>
        <v>0</v>
      </c>
      <c r="Q410" s="4">
        <f>IF(K410&lt;&gt;"Yes",0,P410*Sales_Tax_Settings!$B$8)</f>
        <v>0</v>
      </c>
      <c r="R410" s="4">
        <f>IF(K410&lt;&gt;"Yes",0,P410*Sales_Tax_Settings!$B$9)</f>
        <v>0</v>
      </c>
      <c r="S410" s="4">
        <f t="shared" si="48"/>
        <v>0</v>
      </c>
    </row>
    <row r="411" spans="1:19" x14ac:dyDescent="0.3">
      <c r="A411" t="str">
        <f>IF(Expense_Input!A411="","",Expense_Input!A411)</f>
        <v/>
      </c>
      <c r="B411" t="str">
        <f>IF(Expense_Input!B411="","",Expense_Input!B411)</f>
        <v/>
      </c>
      <c r="C411" t="str">
        <f t="shared" si="42"/>
        <v/>
      </c>
      <c r="D411" t="str">
        <f>IF(Expense_Input!C411="","",Expense_Input!C411)</f>
        <v/>
      </c>
      <c r="E411" s="4" t="str">
        <f>IF(Expense_Input!D411="","",Expense_Input!D411)</f>
        <v/>
      </c>
      <c r="F411" t="str">
        <f>IF(Expense_Input!E411="","",Expense_Input!E411)</f>
        <v/>
      </c>
      <c r="G411" t="str">
        <f>IF(Expense_Input!H411="","",Expense_Input!H411)</f>
        <v/>
      </c>
      <c r="H411" t="str">
        <f>IF(Expense_Input!I411="","Auto",Expense_Input!I411)</f>
        <v>Auto</v>
      </c>
      <c r="I411" t="str">
        <f>IF(F411="","",IFERROR(VLOOKUP(F411,Sales_Tax_Settings!$A$15:$B$27,2,FALSE),"Tax Unknown"))</f>
        <v/>
      </c>
      <c r="J411" t="str">
        <f t="shared" si="43"/>
        <v/>
      </c>
      <c r="K411" t="str">
        <f>IF(AND(Sales_Tax_Settings!$B$5="Yes",G411="Personal Expense",J411="Taxable"),"Yes","No")</f>
        <v>No</v>
      </c>
      <c r="L411" s="4">
        <f t="shared" si="44"/>
        <v>0</v>
      </c>
      <c r="M411" s="4">
        <f t="shared" si="45"/>
        <v>0</v>
      </c>
      <c r="N411" s="4">
        <f t="shared" si="46"/>
        <v>0</v>
      </c>
      <c r="O411" s="4">
        <f t="shared" si="47"/>
        <v>0</v>
      </c>
      <c r="P411" s="4">
        <f>IF(K411&lt;&gt;"Yes",0,IF(Sales_Tax_Settings!$B$6="Yes",E411/(1+Sales_Tax_Settings!$B$10),E411))</f>
        <v>0</v>
      </c>
      <c r="Q411" s="4">
        <f>IF(K411&lt;&gt;"Yes",0,P411*Sales_Tax_Settings!$B$8)</f>
        <v>0</v>
      </c>
      <c r="R411" s="4">
        <f>IF(K411&lt;&gt;"Yes",0,P411*Sales_Tax_Settings!$B$9)</f>
        <v>0</v>
      </c>
      <c r="S411" s="4">
        <f t="shared" si="48"/>
        <v>0</v>
      </c>
    </row>
    <row r="412" spans="1:19" x14ac:dyDescent="0.3">
      <c r="A412" t="str">
        <f>IF(Expense_Input!A412="","",Expense_Input!A412)</f>
        <v/>
      </c>
      <c r="B412" t="str">
        <f>IF(Expense_Input!B412="","",Expense_Input!B412)</f>
        <v/>
      </c>
      <c r="C412" t="str">
        <f t="shared" si="42"/>
        <v/>
      </c>
      <c r="D412" t="str">
        <f>IF(Expense_Input!C412="","",Expense_Input!C412)</f>
        <v/>
      </c>
      <c r="E412" s="4" t="str">
        <f>IF(Expense_Input!D412="","",Expense_Input!D412)</f>
        <v/>
      </c>
      <c r="F412" t="str">
        <f>IF(Expense_Input!E412="","",Expense_Input!E412)</f>
        <v/>
      </c>
      <c r="G412" t="str">
        <f>IF(Expense_Input!H412="","",Expense_Input!H412)</f>
        <v/>
      </c>
      <c r="H412" t="str">
        <f>IF(Expense_Input!I412="","Auto",Expense_Input!I412)</f>
        <v>Auto</v>
      </c>
      <c r="I412" t="str">
        <f>IF(F412="","",IFERROR(VLOOKUP(F412,Sales_Tax_Settings!$A$15:$B$27,2,FALSE),"Tax Unknown"))</f>
        <v/>
      </c>
      <c r="J412" t="str">
        <f t="shared" si="43"/>
        <v/>
      </c>
      <c r="K412" t="str">
        <f>IF(AND(Sales_Tax_Settings!$B$5="Yes",G412="Personal Expense",J412="Taxable"),"Yes","No")</f>
        <v>No</v>
      </c>
      <c r="L412" s="4">
        <f t="shared" si="44"/>
        <v>0</v>
      </c>
      <c r="M412" s="4">
        <f t="shared" si="45"/>
        <v>0</v>
      </c>
      <c r="N412" s="4">
        <f t="shared" si="46"/>
        <v>0</v>
      </c>
      <c r="O412" s="4">
        <f t="shared" si="47"/>
        <v>0</v>
      </c>
      <c r="P412" s="4">
        <f>IF(K412&lt;&gt;"Yes",0,IF(Sales_Tax_Settings!$B$6="Yes",E412/(1+Sales_Tax_Settings!$B$10),E412))</f>
        <v>0</v>
      </c>
      <c r="Q412" s="4">
        <f>IF(K412&lt;&gt;"Yes",0,P412*Sales_Tax_Settings!$B$8)</f>
        <v>0</v>
      </c>
      <c r="R412" s="4">
        <f>IF(K412&lt;&gt;"Yes",0,P412*Sales_Tax_Settings!$B$9)</f>
        <v>0</v>
      </c>
      <c r="S412" s="4">
        <f t="shared" si="48"/>
        <v>0</v>
      </c>
    </row>
    <row r="413" spans="1:19" x14ac:dyDescent="0.3">
      <c r="A413" t="str">
        <f>IF(Expense_Input!A413="","",Expense_Input!A413)</f>
        <v/>
      </c>
      <c r="B413" t="str">
        <f>IF(Expense_Input!B413="","",Expense_Input!B413)</f>
        <v/>
      </c>
      <c r="C413" t="str">
        <f t="shared" si="42"/>
        <v/>
      </c>
      <c r="D413" t="str">
        <f>IF(Expense_Input!C413="","",Expense_Input!C413)</f>
        <v/>
      </c>
      <c r="E413" s="4" t="str">
        <f>IF(Expense_Input!D413="","",Expense_Input!D413)</f>
        <v/>
      </c>
      <c r="F413" t="str">
        <f>IF(Expense_Input!E413="","",Expense_Input!E413)</f>
        <v/>
      </c>
      <c r="G413" t="str">
        <f>IF(Expense_Input!H413="","",Expense_Input!H413)</f>
        <v/>
      </c>
      <c r="H413" t="str">
        <f>IF(Expense_Input!I413="","Auto",Expense_Input!I413)</f>
        <v>Auto</v>
      </c>
      <c r="I413" t="str">
        <f>IF(F413="","",IFERROR(VLOOKUP(F413,Sales_Tax_Settings!$A$15:$B$27,2,FALSE),"Tax Unknown"))</f>
        <v/>
      </c>
      <c r="J413" t="str">
        <f t="shared" si="43"/>
        <v/>
      </c>
      <c r="K413" t="str">
        <f>IF(AND(Sales_Tax_Settings!$B$5="Yes",G413="Personal Expense",J413="Taxable"),"Yes","No")</f>
        <v>No</v>
      </c>
      <c r="L413" s="4">
        <f t="shared" si="44"/>
        <v>0</v>
      </c>
      <c r="M413" s="4">
        <f t="shared" si="45"/>
        <v>0</v>
      </c>
      <c r="N413" s="4">
        <f t="shared" si="46"/>
        <v>0</v>
      </c>
      <c r="O413" s="4">
        <f t="shared" si="47"/>
        <v>0</v>
      </c>
      <c r="P413" s="4">
        <f>IF(K413&lt;&gt;"Yes",0,IF(Sales_Tax_Settings!$B$6="Yes",E413/(1+Sales_Tax_Settings!$B$10),E413))</f>
        <v>0</v>
      </c>
      <c r="Q413" s="4">
        <f>IF(K413&lt;&gt;"Yes",0,P413*Sales_Tax_Settings!$B$8)</f>
        <v>0</v>
      </c>
      <c r="R413" s="4">
        <f>IF(K413&lt;&gt;"Yes",0,P413*Sales_Tax_Settings!$B$9)</f>
        <v>0</v>
      </c>
      <c r="S413" s="4">
        <f t="shared" si="48"/>
        <v>0</v>
      </c>
    </row>
    <row r="414" spans="1:19" x14ac:dyDescent="0.3">
      <c r="A414" t="str">
        <f>IF(Expense_Input!A414="","",Expense_Input!A414)</f>
        <v/>
      </c>
      <c r="B414" t="str">
        <f>IF(Expense_Input!B414="","",Expense_Input!B414)</f>
        <v/>
      </c>
      <c r="C414" t="str">
        <f t="shared" si="42"/>
        <v/>
      </c>
      <c r="D414" t="str">
        <f>IF(Expense_Input!C414="","",Expense_Input!C414)</f>
        <v/>
      </c>
      <c r="E414" s="4" t="str">
        <f>IF(Expense_Input!D414="","",Expense_Input!D414)</f>
        <v/>
      </c>
      <c r="F414" t="str">
        <f>IF(Expense_Input!E414="","",Expense_Input!E414)</f>
        <v/>
      </c>
      <c r="G414" t="str">
        <f>IF(Expense_Input!H414="","",Expense_Input!H414)</f>
        <v/>
      </c>
      <c r="H414" t="str">
        <f>IF(Expense_Input!I414="","Auto",Expense_Input!I414)</f>
        <v>Auto</v>
      </c>
      <c r="I414" t="str">
        <f>IF(F414="","",IFERROR(VLOOKUP(F414,Sales_Tax_Settings!$A$15:$B$27,2,FALSE),"Tax Unknown"))</f>
        <v/>
      </c>
      <c r="J414" t="str">
        <f t="shared" si="43"/>
        <v/>
      </c>
      <c r="K414" t="str">
        <f>IF(AND(Sales_Tax_Settings!$B$5="Yes",G414="Personal Expense",J414="Taxable"),"Yes","No")</f>
        <v>No</v>
      </c>
      <c r="L414" s="4">
        <f t="shared" si="44"/>
        <v>0</v>
      </c>
      <c r="M414" s="4">
        <f t="shared" si="45"/>
        <v>0</v>
      </c>
      <c r="N414" s="4">
        <f t="shared" si="46"/>
        <v>0</v>
      </c>
      <c r="O414" s="4">
        <f t="shared" si="47"/>
        <v>0</v>
      </c>
      <c r="P414" s="4">
        <f>IF(K414&lt;&gt;"Yes",0,IF(Sales_Tax_Settings!$B$6="Yes",E414/(1+Sales_Tax_Settings!$B$10),E414))</f>
        <v>0</v>
      </c>
      <c r="Q414" s="4">
        <f>IF(K414&lt;&gt;"Yes",0,P414*Sales_Tax_Settings!$B$8)</f>
        <v>0</v>
      </c>
      <c r="R414" s="4">
        <f>IF(K414&lt;&gt;"Yes",0,P414*Sales_Tax_Settings!$B$9)</f>
        <v>0</v>
      </c>
      <c r="S414" s="4">
        <f t="shared" si="48"/>
        <v>0</v>
      </c>
    </row>
    <row r="415" spans="1:19" x14ac:dyDescent="0.3">
      <c r="A415" t="str">
        <f>IF(Expense_Input!A415="","",Expense_Input!A415)</f>
        <v/>
      </c>
      <c r="B415" t="str">
        <f>IF(Expense_Input!B415="","",Expense_Input!B415)</f>
        <v/>
      </c>
      <c r="C415" t="str">
        <f t="shared" si="42"/>
        <v/>
      </c>
      <c r="D415" t="str">
        <f>IF(Expense_Input!C415="","",Expense_Input!C415)</f>
        <v/>
      </c>
      <c r="E415" s="4" t="str">
        <f>IF(Expense_Input!D415="","",Expense_Input!D415)</f>
        <v/>
      </c>
      <c r="F415" t="str">
        <f>IF(Expense_Input!E415="","",Expense_Input!E415)</f>
        <v/>
      </c>
      <c r="G415" t="str">
        <f>IF(Expense_Input!H415="","",Expense_Input!H415)</f>
        <v/>
      </c>
      <c r="H415" t="str">
        <f>IF(Expense_Input!I415="","Auto",Expense_Input!I415)</f>
        <v>Auto</v>
      </c>
      <c r="I415" t="str">
        <f>IF(F415="","",IFERROR(VLOOKUP(F415,Sales_Tax_Settings!$A$15:$B$27,2,FALSE),"Tax Unknown"))</f>
        <v/>
      </c>
      <c r="J415" t="str">
        <f t="shared" si="43"/>
        <v/>
      </c>
      <c r="K415" t="str">
        <f>IF(AND(Sales_Tax_Settings!$B$5="Yes",G415="Personal Expense",J415="Taxable"),"Yes","No")</f>
        <v>No</v>
      </c>
      <c r="L415" s="4">
        <f t="shared" si="44"/>
        <v>0</v>
      </c>
      <c r="M415" s="4">
        <f t="shared" si="45"/>
        <v>0</v>
      </c>
      <c r="N415" s="4">
        <f t="shared" si="46"/>
        <v>0</v>
      </c>
      <c r="O415" s="4">
        <f t="shared" si="47"/>
        <v>0</v>
      </c>
      <c r="P415" s="4">
        <f>IF(K415&lt;&gt;"Yes",0,IF(Sales_Tax_Settings!$B$6="Yes",E415/(1+Sales_Tax_Settings!$B$10),E415))</f>
        <v>0</v>
      </c>
      <c r="Q415" s="4">
        <f>IF(K415&lt;&gt;"Yes",0,P415*Sales_Tax_Settings!$B$8)</f>
        <v>0</v>
      </c>
      <c r="R415" s="4">
        <f>IF(K415&lt;&gt;"Yes",0,P415*Sales_Tax_Settings!$B$9)</f>
        <v>0</v>
      </c>
      <c r="S415" s="4">
        <f t="shared" si="48"/>
        <v>0</v>
      </c>
    </row>
    <row r="416" spans="1:19" x14ac:dyDescent="0.3">
      <c r="A416" t="str">
        <f>IF(Expense_Input!A416="","",Expense_Input!A416)</f>
        <v/>
      </c>
      <c r="B416" t="str">
        <f>IF(Expense_Input!B416="","",Expense_Input!B416)</f>
        <v/>
      </c>
      <c r="C416" t="str">
        <f t="shared" si="42"/>
        <v/>
      </c>
      <c r="D416" t="str">
        <f>IF(Expense_Input!C416="","",Expense_Input!C416)</f>
        <v/>
      </c>
      <c r="E416" s="4" t="str">
        <f>IF(Expense_Input!D416="","",Expense_Input!D416)</f>
        <v/>
      </c>
      <c r="F416" t="str">
        <f>IF(Expense_Input!E416="","",Expense_Input!E416)</f>
        <v/>
      </c>
      <c r="G416" t="str">
        <f>IF(Expense_Input!H416="","",Expense_Input!H416)</f>
        <v/>
      </c>
      <c r="H416" t="str">
        <f>IF(Expense_Input!I416="","Auto",Expense_Input!I416)</f>
        <v>Auto</v>
      </c>
      <c r="I416" t="str">
        <f>IF(F416="","",IFERROR(VLOOKUP(F416,Sales_Tax_Settings!$A$15:$B$27,2,FALSE),"Tax Unknown"))</f>
        <v/>
      </c>
      <c r="J416" t="str">
        <f t="shared" si="43"/>
        <v/>
      </c>
      <c r="K416" t="str">
        <f>IF(AND(Sales_Tax_Settings!$B$5="Yes",G416="Personal Expense",J416="Taxable"),"Yes","No")</f>
        <v>No</v>
      </c>
      <c r="L416" s="4">
        <f t="shared" si="44"/>
        <v>0</v>
      </c>
      <c r="M416" s="4">
        <f t="shared" si="45"/>
        <v>0</v>
      </c>
      <c r="N416" s="4">
        <f t="shared" si="46"/>
        <v>0</v>
      </c>
      <c r="O416" s="4">
        <f t="shared" si="47"/>
        <v>0</v>
      </c>
      <c r="P416" s="4">
        <f>IF(K416&lt;&gt;"Yes",0,IF(Sales_Tax_Settings!$B$6="Yes",E416/(1+Sales_Tax_Settings!$B$10),E416))</f>
        <v>0</v>
      </c>
      <c r="Q416" s="4">
        <f>IF(K416&lt;&gt;"Yes",0,P416*Sales_Tax_Settings!$B$8)</f>
        <v>0</v>
      </c>
      <c r="R416" s="4">
        <f>IF(K416&lt;&gt;"Yes",0,P416*Sales_Tax_Settings!$B$9)</f>
        <v>0</v>
      </c>
      <c r="S416" s="4">
        <f t="shared" si="48"/>
        <v>0</v>
      </c>
    </row>
    <row r="417" spans="1:19" x14ac:dyDescent="0.3">
      <c r="A417" t="str">
        <f>IF(Expense_Input!A417="","",Expense_Input!A417)</f>
        <v/>
      </c>
      <c r="B417" t="str">
        <f>IF(Expense_Input!B417="","",Expense_Input!B417)</f>
        <v/>
      </c>
      <c r="C417" t="str">
        <f t="shared" si="42"/>
        <v/>
      </c>
      <c r="D417" t="str">
        <f>IF(Expense_Input!C417="","",Expense_Input!C417)</f>
        <v/>
      </c>
      <c r="E417" s="4" t="str">
        <f>IF(Expense_Input!D417="","",Expense_Input!D417)</f>
        <v/>
      </c>
      <c r="F417" t="str">
        <f>IF(Expense_Input!E417="","",Expense_Input!E417)</f>
        <v/>
      </c>
      <c r="G417" t="str">
        <f>IF(Expense_Input!H417="","",Expense_Input!H417)</f>
        <v/>
      </c>
      <c r="H417" t="str">
        <f>IF(Expense_Input!I417="","Auto",Expense_Input!I417)</f>
        <v>Auto</v>
      </c>
      <c r="I417" t="str">
        <f>IF(F417="","",IFERROR(VLOOKUP(F417,Sales_Tax_Settings!$A$15:$B$27,2,FALSE),"Tax Unknown"))</f>
        <v/>
      </c>
      <c r="J417" t="str">
        <f t="shared" si="43"/>
        <v/>
      </c>
      <c r="K417" t="str">
        <f>IF(AND(Sales_Tax_Settings!$B$5="Yes",G417="Personal Expense",J417="Taxable"),"Yes","No")</f>
        <v>No</v>
      </c>
      <c r="L417" s="4">
        <f t="shared" si="44"/>
        <v>0</v>
      </c>
      <c r="M417" s="4">
        <f t="shared" si="45"/>
        <v>0</v>
      </c>
      <c r="N417" s="4">
        <f t="shared" si="46"/>
        <v>0</v>
      </c>
      <c r="O417" s="4">
        <f t="shared" si="47"/>
        <v>0</v>
      </c>
      <c r="P417" s="4">
        <f>IF(K417&lt;&gt;"Yes",0,IF(Sales_Tax_Settings!$B$6="Yes",E417/(1+Sales_Tax_Settings!$B$10),E417))</f>
        <v>0</v>
      </c>
      <c r="Q417" s="4">
        <f>IF(K417&lt;&gt;"Yes",0,P417*Sales_Tax_Settings!$B$8)</f>
        <v>0</v>
      </c>
      <c r="R417" s="4">
        <f>IF(K417&lt;&gt;"Yes",0,P417*Sales_Tax_Settings!$B$9)</f>
        <v>0</v>
      </c>
      <c r="S417" s="4">
        <f t="shared" si="48"/>
        <v>0</v>
      </c>
    </row>
    <row r="418" spans="1:19" x14ac:dyDescent="0.3">
      <c r="A418" t="str">
        <f>IF(Expense_Input!A418="","",Expense_Input!A418)</f>
        <v/>
      </c>
      <c r="B418" t="str">
        <f>IF(Expense_Input!B418="","",Expense_Input!B418)</f>
        <v/>
      </c>
      <c r="C418" t="str">
        <f t="shared" si="42"/>
        <v/>
      </c>
      <c r="D418" t="str">
        <f>IF(Expense_Input!C418="","",Expense_Input!C418)</f>
        <v/>
      </c>
      <c r="E418" s="4" t="str">
        <f>IF(Expense_Input!D418="","",Expense_Input!D418)</f>
        <v/>
      </c>
      <c r="F418" t="str">
        <f>IF(Expense_Input!E418="","",Expense_Input!E418)</f>
        <v/>
      </c>
      <c r="G418" t="str">
        <f>IF(Expense_Input!H418="","",Expense_Input!H418)</f>
        <v/>
      </c>
      <c r="H418" t="str">
        <f>IF(Expense_Input!I418="","Auto",Expense_Input!I418)</f>
        <v>Auto</v>
      </c>
      <c r="I418" t="str">
        <f>IF(F418="","",IFERROR(VLOOKUP(F418,Sales_Tax_Settings!$A$15:$B$27,2,FALSE),"Tax Unknown"))</f>
        <v/>
      </c>
      <c r="J418" t="str">
        <f t="shared" si="43"/>
        <v/>
      </c>
      <c r="K418" t="str">
        <f>IF(AND(Sales_Tax_Settings!$B$5="Yes",G418="Personal Expense",J418="Taxable"),"Yes","No")</f>
        <v>No</v>
      </c>
      <c r="L418" s="4">
        <f t="shared" si="44"/>
        <v>0</v>
      </c>
      <c r="M418" s="4">
        <f t="shared" si="45"/>
        <v>0</v>
      </c>
      <c r="N418" s="4">
        <f t="shared" si="46"/>
        <v>0</v>
      </c>
      <c r="O418" s="4">
        <f t="shared" si="47"/>
        <v>0</v>
      </c>
      <c r="P418" s="4">
        <f>IF(K418&lt;&gt;"Yes",0,IF(Sales_Tax_Settings!$B$6="Yes",E418/(1+Sales_Tax_Settings!$B$10),E418))</f>
        <v>0</v>
      </c>
      <c r="Q418" s="4">
        <f>IF(K418&lt;&gt;"Yes",0,P418*Sales_Tax_Settings!$B$8)</f>
        <v>0</v>
      </c>
      <c r="R418" s="4">
        <f>IF(K418&lt;&gt;"Yes",0,P418*Sales_Tax_Settings!$B$9)</f>
        <v>0</v>
      </c>
      <c r="S418" s="4">
        <f t="shared" si="48"/>
        <v>0</v>
      </c>
    </row>
    <row r="419" spans="1:19" x14ac:dyDescent="0.3">
      <c r="A419" t="str">
        <f>IF(Expense_Input!A419="","",Expense_Input!A419)</f>
        <v/>
      </c>
      <c r="B419" t="str">
        <f>IF(Expense_Input!B419="","",Expense_Input!B419)</f>
        <v/>
      </c>
      <c r="C419" t="str">
        <f t="shared" si="42"/>
        <v/>
      </c>
      <c r="D419" t="str">
        <f>IF(Expense_Input!C419="","",Expense_Input!C419)</f>
        <v/>
      </c>
      <c r="E419" s="4" t="str">
        <f>IF(Expense_Input!D419="","",Expense_Input!D419)</f>
        <v/>
      </c>
      <c r="F419" t="str">
        <f>IF(Expense_Input!E419="","",Expense_Input!E419)</f>
        <v/>
      </c>
      <c r="G419" t="str">
        <f>IF(Expense_Input!H419="","",Expense_Input!H419)</f>
        <v/>
      </c>
      <c r="H419" t="str">
        <f>IF(Expense_Input!I419="","Auto",Expense_Input!I419)</f>
        <v>Auto</v>
      </c>
      <c r="I419" t="str">
        <f>IF(F419="","",IFERROR(VLOOKUP(F419,Sales_Tax_Settings!$A$15:$B$27,2,FALSE),"Tax Unknown"))</f>
        <v/>
      </c>
      <c r="J419" t="str">
        <f t="shared" si="43"/>
        <v/>
      </c>
      <c r="K419" t="str">
        <f>IF(AND(Sales_Tax_Settings!$B$5="Yes",G419="Personal Expense",J419="Taxable"),"Yes","No")</f>
        <v>No</v>
      </c>
      <c r="L419" s="4">
        <f t="shared" si="44"/>
        <v>0</v>
      </c>
      <c r="M419" s="4">
        <f t="shared" si="45"/>
        <v>0</v>
      </c>
      <c r="N419" s="4">
        <f t="shared" si="46"/>
        <v>0</v>
      </c>
      <c r="O419" s="4">
        <f t="shared" si="47"/>
        <v>0</v>
      </c>
      <c r="P419" s="4">
        <f>IF(K419&lt;&gt;"Yes",0,IF(Sales_Tax_Settings!$B$6="Yes",E419/(1+Sales_Tax_Settings!$B$10),E419))</f>
        <v>0</v>
      </c>
      <c r="Q419" s="4">
        <f>IF(K419&lt;&gt;"Yes",0,P419*Sales_Tax_Settings!$B$8)</f>
        <v>0</v>
      </c>
      <c r="R419" s="4">
        <f>IF(K419&lt;&gt;"Yes",0,P419*Sales_Tax_Settings!$B$9)</f>
        <v>0</v>
      </c>
      <c r="S419" s="4">
        <f t="shared" si="48"/>
        <v>0</v>
      </c>
    </row>
    <row r="420" spans="1:19" x14ac:dyDescent="0.3">
      <c r="A420" t="str">
        <f>IF(Expense_Input!A420="","",Expense_Input!A420)</f>
        <v/>
      </c>
      <c r="B420" t="str">
        <f>IF(Expense_Input!B420="","",Expense_Input!B420)</f>
        <v/>
      </c>
      <c r="C420" t="str">
        <f t="shared" si="42"/>
        <v/>
      </c>
      <c r="D420" t="str">
        <f>IF(Expense_Input!C420="","",Expense_Input!C420)</f>
        <v/>
      </c>
      <c r="E420" s="4" t="str">
        <f>IF(Expense_Input!D420="","",Expense_Input!D420)</f>
        <v/>
      </c>
      <c r="F420" t="str">
        <f>IF(Expense_Input!E420="","",Expense_Input!E420)</f>
        <v/>
      </c>
      <c r="G420" t="str">
        <f>IF(Expense_Input!H420="","",Expense_Input!H420)</f>
        <v/>
      </c>
      <c r="H420" t="str">
        <f>IF(Expense_Input!I420="","Auto",Expense_Input!I420)</f>
        <v>Auto</v>
      </c>
      <c r="I420" t="str">
        <f>IF(F420="","",IFERROR(VLOOKUP(F420,Sales_Tax_Settings!$A$15:$B$27,2,FALSE),"Tax Unknown"))</f>
        <v/>
      </c>
      <c r="J420" t="str">
        <f t="shared" si="43"/>
        <v/>
      </c>
      <c r="K420" t="str">
        <f>IF(AND(Sales_Tax_Settings!$B$5="Yes",G420="Personal Expense",J420="Taxable"),"Yes","No")</f>
        <v>No</v>
      </c>
      <c r="L420" s="4">
        <f t="shared" si="44"/>
        <v>0</v>
      </c>
      <c r="M420" s="4">
        <f t="shared" si="45"/>
        <v>0</v>
      </c>
      <c r="N420" s="4">
        <f t="shared" si="46"/>
        <v>0</v>
      </c>
      <c r="O420" s="4">
        <f t="shared" si="47"/>
        <v>0</v>
      </c>
      <c r="P420" s="4">
        <f>IF(K420&lt;&gt;"Yes",0,IF(Sales_Tax_Settings!$B$6="Yes",E420/(1+Sales_Tax_Settings!$B$10),E420))</f>
        <v>0</v>
      </c>
      <c r="Q420" s="4">
        <f>IF(K420&lt;&gt;"Yes",0,P420*Sales_Tax_Settings!$B$8)</f>
        <v>0</v>
      </c>
      <c r="R420" s="4">
        <f>IF(K420&lt;&gt;"Yes",0,P420*Sales_Tax_Settings!$B$9)</f>
        <v>0</v>
      </c>
      <c r="S420" s="4">
        <f t="shared" si="48"/>
        <v>0</v>
      </c>
    </row>
    <row r="421" spans="1:19" x14ac:dyDescent="0.3">
      <c r="A421" t="str">
        <f>IF(Expense_Input!A421="","",Expense_Input!A421)</f>
        <v/>
      </c>
      <c r="B421" t="str">
        <f>IF(Expense_Input!B421="","",Expense_Input!B421)</f>
        <v/>
      </c>
      <c r="C421" t="str">
        <f t="shared" si="42"/>
        <v/>
      </c>
      <c r="D421" t="str">
        <f>IF(Expense_Input!C421="","",Expense_Input!C421)</f>
        <v/>
      </c>
      <c r="E421" s="4" t="str">
        <f>IF(Expense_Input!D421="","",Expense_Input!D421)</f>
        <v/>
      </c>
      <c r="F421" t="str">
        <f>IF(Expense_Input!E421="","",Expense_Input!E421)</f>
        <v/>
      </c>
      <c r="G421" t="str">
        <f>IF(Expense_Input!H421="","",Expense_Input!H421)</f>
        <v/>
      </c>
      <c r="H421" t="str">
        <f>IF(Expense_Input!I421="","Auto",Expense_Input!I421)</f>
        <v>Auto</v>
      </c>
      <c r="I421" t="str">
        <f>IF(F421="","",IFERROR(VLOOKUP(F421,Sales_Tax_Settings!$A$15:$B$27,2,FALSE),"Tax Unknown"))</f>
        <v/>
      </c>
      <c r="J421" t="str">
        <f t="shared" si="43"/>
        <v/>
      </c>
      <c r="K421" t="str">
        <f>IF(AND(Sales_Tax_Settings!$B$5="Yes",G421="Personal Expense",J421="Taxable"),"Yes","No")</f>
        <v>No</v>
      </c>
      <c r="L421" s="4">
        <f t="shared" si="44"/>
        <v>0</v>
      </c>
      <c r="M421" s="4">
        <f t="shared" si="45"/>
        <v>0</v>
      </c>
      <c r="N421" s="4">
        <f t="shared" si="46"/>
        <v>0</v>
      </c>
      <c r="O421" s="4">
        <f t="shared" si="47"/>
        <v>0</v>
      </c>
      <c r="P421" s="4">
        <f>IF(K421&lt;&gt;"Yes",0,IF(Sales_Tax_Settings!$B$6="Yes",E421/(1+Sales_Tax_Settings!$B$10),E421))</f>
        <v>0</v>
      </c>
      <c r="Q421" s="4">
        <f>IF(K421&lt;&gt;"Yes",0,P421*Sales_Tax_Settings!$B$8)</f>
        <v>0</v>
      </c>
      <c r="R421" s="4">
        <f>IF(K421&lt;&gt;"Yes",0,P421*Sales_Tax_Settings!$B$9)</f>
        <v>0</v>
      </c>
      <c r="S421" s="4">
        <f t="shared" si="48"/>
        <v>0</v>
      </c>
    </row>
    <row r="422" spans="1:19" x14ac:dyDescent="0.3">
      <c r="A422" t="str">
        <f>IF(Expense_Input!A422="","",Expense_Input!A422)</f>
        <v/>
      </c>
      <c r="B422" t="str">
        <f>IF(Expense_Input!B422="","",Expense_Input!B422)</f>
        <v/>
      </c>
      <c r="C422" t="str">
        <f t="shared" si="42"/>
        <v/>
      </c>
      <c r="D422" t="str">
        <f>IF(Expense_Input!C422="","",Expense_Input!C422)</f>
        <v/>
      </c>
      <c r="E422" s="4" t="str">
        <f>IF(Expense_Input!D422="","",Expense_Input!D422)</f>
        <v/>
      </c>
      <c r="F422" t="str">
        <f>IF(Expense_Input!E422="","",Expense_Input!E422)</f>
        <v/>
      </c>
      <c r="G422" t="str">
        <f>IF(Expense_Input!H422="","",Expense_Input!H422)</f>
        <v/>
      </c>
      <c r="H422" t="str">
        <f>IF(Expense_Input!I422="","Auto",Expense_Input!I422)</f>
        <v>Auto</v>
      </c>
      <c r="I422" t="str">
        <f>IF(F422="","",IFERROR(VLOOKUP(F422,Sales_Tax_Settings!$A$15:$B$27,2,FALSE),"Tax Unknown"))</f>
        <v/>
      </c>
      <c r="J422" t="str">
        <f t="shared" si="43"/>
        <v/>
      </c>
      <c r="K422" t="str">
        <f>IF(AND(Sales_Tax_Settings!$B$5="Yes",G422="Personal Expense",J422="Taxable"),"Yes","No")</f>
        <v>No</v>
      </c>
      <c r="L422" s="4">
        <f t="shared" si="44"/>
        <v>0</v>
      </c>
      <c r="M422" s="4">
        <f t="shared" si="45"/>
        <v>0</v>
      </c>
      <c r="N422" s="4">
        <f t="shared" si="46"/>
        <v>0</v>
      </c>
      <c r="O422" s="4">
        <f t="shared" si="47"/>
        <v>0</v>
      </c>
      <c r="P422" s="4">
        <f>IF(K422&lt;&gt;"Yes",0,IF(Sales_Tax_Settings!$B$6="Yes",E422/(1+Sales_Tax_Settings!$B$10),E422))</f>
        <v>0</v>
      </c>
      <c r="Q422" s="4">
        <f>IF(K422&lt;&gt;"Yes",0,P422*Sales_Tax_Settings!$B$8)</f>
        <v>0</v>
      </c>
      <c r="R422" s="4">
        <f>IF(K422&lt;&gt;"Yes",0,P422*Sales_Tax_Settings!$B$9)</f>
        <v>0</v>
      </c>
      <c r="S422" s="4">
        <f t="shared" si="48"/>
        <v>0</v>
      </c>
    </row>
    <row r="423" spans="1:19" x14ac:dyDescent="0.3">
      <c r="A423" t="str">
        <f>IF(Expense_Input!A423="","",Expense_Input!A423)</f>
        <v/>
      </c>
      <c r="B423" t="str">
        <f>IF(Expense_Input!B423="","",Expense_Input!B423)</f>
        <v/>
      </c>
      <c r="C423" t="str">
        <f t="shared" si="42"/>
        <v/>
      </c>
      <c r="D423" t="str">
        <f>IF(Expense_Input!C423="","",Expense_Input!C423)</f>
        <v/>
      </c>
      <c r="E423" s="4" t="str">
        <f>IF(Expense_Input!D423="","",Expense_Input!D423)</f>
        <v/>
      </c>
      <c r="F423" t="str">
        <f>IF(Expense_Input!E423="","",Expense_Input!E423)</f>
        <v/>
      </c>
      <c r="G423" t="str">
        <f>IF(Expense_Input!H423="","",Expense_Input!H423)</f>
        <v/>
      </c>
      <c r="H423" t="str">
        <f>IF(Expense_Input!I423="","Auto",Expense_Input!I423)</f>
        <v>Auto</v>
      </c>
      <c r="I423" t="str">
        <f>IF(F423="","",IFERROR(VLOOKUP(F423,Sales_Tax_Settings!$A$15:$B$27,2,FALSE),"Tax Unknown"))</f>
        <v/>
      </c>
      <c r="J423" t="str">
        <f t="shared" si="43"/>
        <v/>
      </c>
      <c r="K423" t="str">
        <f>IF(AND(Sales_Tax_Settings!$B$5="Yes",G423="Personal Expense",J423="Taxable"),"Yes","No")</f>
        <v>No</v>
      </c>
      <c r="L423" s="4">
        <f t="shared" si="44"/>
        <v>0</v>
      </c>
      <c r="M423" s="4">
        <f t="shared" si="45"/>
        <v>0</v>
      </c>
      <c r="N423" s="4">
        <f t="shared" si="46"/>
        <v>0</v>
      </c>
      <c r="O423" s="4">
        <f t="shared" si="47"/>
        <v>0</v>
      </c>
      <c r="P423" s="4">
        <f>IF(K423&lt;&gt;"Yes",0,IF(Sales_Tax_Settings!$B$6="Yes",E423/(1+Sales_Tax_Settings!$B$10),E423))</f>
        <v>0</v>
      </c>
      <c r="Q423" s="4">
        <f>IF(K423&lt;&gt;"Yes",0,P423*Sales_Tax_Settings!$B$8)</f>
        <v>0</v>
      </c>
      <c r="R423" s="4">
        <f>IF(K423&lt;&gt;"Yes",0,P423*Sales_Tax_Settings!$B$9)</f>
        <v>0</v>
      </c>
      <c r="S423" s="4">
        <f t="shared" si="48"/>
        <v>0</v>
      </c>
    </row>
    <row r="424" spans="1:19" x14ac:dyDescent="0.3">
      <c r="A424" t="str">
        <f>IF(Expense_Input!A424="","",Expense_Input!A424)</f>
        <v/>
      </c>
      <c r="B424" t="str">
        <f>IF(Expense_Input!B424="","",Expense_Input!B424)</f>
        <v/>
      </c>
      <c r="C424" t="str">
        <f t="shared" si="42"/>
        <v/>
      </c>
      <c r="D424" t="str">
        <f>IF(Expense_Input!C424="","",Expense_Input!C424)</f>
        <v/>
      </c>
      <c r="E424" s="4" t="str">
        <f>IF(Expense_Input!D424="","",Expense_Input!D424)</f>
        <v/>
      </c>
      <c r="F424" t="str">
        <f>IF(Expense_Input!E424="","",Expense_Input!E424)</f>
        <v/>
      </c>
      <c r="G424" t="str">
        <f>IF(Expense_Input!H424="","",Expense_Input!H424)</f>
        <v/>
      </c>
      <c r="H424" t="str">
        <f>IF(Expense_Input!I424="","Auto",Expense_Input!I424)</f>
        <v>Auto</v>
      </c>
      <c r="I424" t="str">
        <f>IF(F424="","",IFERROR(VLOOKUP(F424,Sales_Tax_Settings!$A$15:$B$27,2,FALSE),"Tax Unknown"))</f>
        <v/>
      </c>
      <c r="J424" t="str">
        <f t="shared" si="43"/>
        <v/>
      </c>
      <c r="K424" t="str">
        <f>IF(AND(Sales_Tax_Settings!$B$5="Yes",G424="Personal Expense",J424="Taxable"),"Yes","No")</f>
        <v>No</v>
      </c>
      <c r="L424" s="4">
        <f t="shared" si="44"/>
        <v>0</v>
      </c>
      <c r="M424" s="4">
        <f t="shared" si="45"/>
        <v>0</v>
      </c>
      <c r="N424" s="4">
        <f t="shared" si="46"/>
        <v>0</v>
      </c>
      <c r="O424" s="4">
        <f t="shared" si="47"/>
        <v>0</v>
      </c>
      <c r="P424" s="4">
        <f>IF(K424&lt;&gt;"Yes",0,IF(Sales_Tax_Settings!$B$6="Yes",E424/(1+Sales_Tax_Settings!$B$10),E424))</f>
        <v>0</v>
      </c>
      <c r="Q424" s="4">
        <f>IF(K424&lt;&gt;"Yes",0,P424*Sales_Tax_Settings!$B$8)</f>
        <v>0</v>
      </c>
      <c r="R424" s="4">
        <f>IF(K424&lt;&gt;"Yes",0,P424*Sales_Tax_Settings!$B$9)</f>
        <v>0</v>
      </c>
      <c r="S424" s="4">
        <f t="shared" si="48"/>
        <v>0</v>
      </c>
    </row>
    <row r="425" spans="1:19" x14ac:dyDescent="0.3">
      <c r="A425" t="str">
        <f>IF(Expense_Input!A425="","",Expense_Input!A425)</f>
        <v/>
      </c>
      <c r="B425" t="str">
        <f>IF(Expense_Input!B425="","",Expense_Input!B425)</f>
        <v/>
      </c>
      <c r="C425" t="str">
        <f t="shared" si="42"/>
        <v/>
      </c>
      <c r="D425" t="str">
        <f>IF(Expense_Input!C425="","",Expense_Input!C425)</f>
        <v/>
      </c>
      <c r="E425" s="4" t="str">
        <f>IF(Expense_Input!D425="","",Expense_Input!D425)</f>
        <v/>
      </c>
      <c r="F425" t="str">
        <f>IF(Expense_Input!E425="","",Expense_Input!E425)</f>
        <v/>
      </c>
      <c r="G425" t="str">
        <f>IF(Expense_Input!H425="","",Expense_Input!H425)</f>
        <v/>
      </c>
      <c r="H425" t="str">
        <f>IF(Expense_Input!I425="","Auto",Expense_Input!I425)</f>
        <v>Auto</v>
      </c>
      <c r="I425" t="str">
        <f>IF(F425="","",IFERROR(VLOOKUP(F425,Sales_Tax_Settings!$A$15:$B$27,2,FALSE),"Tax Unknown"))</f>
        <v/>
      </c>
      <c r="J425" t="str">
        <f t="shared" si="43"/>
        <v/>
      </c>
      <c r="K425" t="str">
        <f>IF(AND(Sales_Tax_Settings!$B$5="Yes",G425="Personal Expense",J425="Taxable"),"Yes","No")</f>
        <v>No</v>
      </c>
      <c r="L425" s="4">
        <f t="shared" si="44"/>
        <v>0</v>
      </c>
      <c r="M425" s="4">
        <f t="shared" si="45"/>
        <v>0</v>
      </c>
      <c r="N425" s="4">
        <f t="shared" si="46"/>
        <v>0</v>
      </c>
      <c r="O425" s="4">
        <f t="shared" si="47"/>
        <v>0</v>
      </c>
      <c r="P425" s="4">
        <f>IF(K425&lt;&gt;"Yes",0,IF(Sales_Tax_Settings!$B$6="Yes",E425/(1+Sales_Tax_Settings!$B$10),E425))</f>
        <v>0</v>
      </c>
      <c r="Q425" s="4">
        <f>IF(K425&lt;&gt;"Yes",0,P425*Sales_Tax_Settings!$B$8)</f>
        <v>0</v>
      </c>
      <c r="R425" s="4">
        <f>IF(K425&lt;&gt;"Yes",0,P425*Sales_Tax_Settings!$B$9)</f>
        <v>0</v>
      </c>
      <c r="S425" s="4">
        <f t="shared" si="48"/>
        <v>0</v>
      </c>
    </row>
    <row r="426" spans="1:19" x14ac:dyDescent="0.3">
      <c r="A426" t="str">
        <f>IF(Expense_Input!A426="","",Expense_Input!A426)</f>
        <v/>
      </c>
      <c r="B426" t="str">
        <f>IF(Expense_Input!B426="","",Expense_Input!B426)</f>
        <v/>
      </c>
      <c r="C426" t="str">
        <f t="shared" si="42"/>
        <v/>
      </c>
      <c r="D426" t="str">
        <f>IF(Expense_Input!C426="","",Expense_Input!C426)</f>
        <v/>
      </c>
      <c r="E426" s="4" t="str">
        <f>IF(Expense_Input!D426="","",Expense_Input!D426)</f>
        <v/>
      </c>
      <c r="F426" t="str">
        <f>IF(Expense_Input!E426="","",Expense_Input!E426)</f>
        <v/>
      </c>
      <c r="G426" t="str">
        <f>IF(Expense_Input!H426="","",Expense_Input!H426)</f>
        <v/>
      </c>
      <c r="H426" t="str">
        <f>IF(Expense_Input!I426="","Auto",Expense_Input!I426)</f>
        <v>Auto</v>
      </c>
      <c r="I426" t="str">
        <f>IF(F426="","",IFERROR(VLOOKUP(F426,Sales_Tax_Settings!$A$15:$B$27,2,FALSE),"Tax Unknown"))</f>
        <v/>
      </c>
      <c r="J426" t="str">
        <f t="shared" si="43"/>
        <v/>
      </c>
      <c r="K426" t="str">
        <f>IF(AND(Sales_Tax_Settings!$B$5="Yes",G426="Personal Expense",J426="Taxable"),"Yes","No")</f>
        <v>No</v>
      </c>
      <c r="L426" s="4">
        <f t="shared" si="44"/>
        <v>0</v>
      </c>
      <c r="M426" s="4">
        <f t="shared" si="45"/>
        <v>0</v>
      </c>
      <c r="N426" s="4">
        <f t="shared" si="46"/>
        <v>0</v>
      </c>
      <c r="O426" s="4">
        <f t="shared" si="47"/>
        <v>0</v>
      </c>
      <c r="P426" s="4">
        <f>IF(K426&lt;&gt;"Yes",0,IF(Sales_Tax_Settings!$B$6="Yes",E426/(1+Sales_Tax_Settings!$B$10),E426))</f>
        <v>0</v>
      </c>
      <c r="Q426" s="4">
        <f>IF(K426&lt;&gt;"Yes",0,P426*Sales_Tax_Settings!$B$8)</f>
        <v>0</v>
      </c>
      <c r="R426" s="4">
        <f>IF(K426&lt;&gt;"Yes",0,P426*Sales_Tax_Settings!$B$9)</f>
        <v>0</v>
      </c>
      <c r="S426" s="4">
        <f t="shared" si="48"/>
        <v>0</v>
      </c>
    </row>
    <row r="427" spans="1:19" x14ac:dyDescent="0.3">
      <c r="A427" t="str">
        <f>IF(Expense_Input!A427="","",Expense_Input!A427)</f>
        <v/>
      </c>
      <c r="B427" t="str">
        <f>IF(Expense_Input!B427="","",Expense_Input!B427)</f>
        <v/>
      </c>
      <c r="C427" t="str">
        <f t="shared" si="42"/>
        <v/>
      </c>
      <c r="D427" t="str">
        <f>IF(Expense_Input!C427="","",Expense_Input!C427)</f>
        <v/>
      </c>
      <c r="E427" s="4" t="str">
        <f>IF(Expense_Input!D427="","",Expense_Input!D427)</f>
        <v/>
      </c>
      <c r="F427" t="str">
        <f>IF(Expense_Input!E427="","",Expense_Input!E427)</f>
        <v/>
      </c>
      <c r="G427" t="str">
        <f>IF(Expense_Input!H427="","",Expense_Input!H427)</f>
        <v/>
      </c>
      <c r="H427" t="str">
        <f>IF(Expense_Input!I427="","Auto",Expense_Input!I427)</f>
        <v>Auto</v>
      </c>
      <c r="I427" t="str">
        <f>IF(F427="","",IFERROR(VLOOKUP(F427,Sales_Tax_Settings!$A$15:$B$27,2,FALSE),"Tax Unknown"))</f>
        <v/>
      </c>
      <c r="J427" t="str">
        <f t="shared" si="43"/>
        <v/>
      </c>
      <c r="K427" t="str">
        <f>IF(AND(Sales_Tax_Settings!$B$5="Yes",G427="Personal Expense",J427="Taxable"),"Yes","No")</f>
        <v>No</v>
      </c>
      <c r="L427" s="4">
        <f t="shared" si="44"/>
        <v>0</v>
      </c>
      <c r="M427" s="4">
        <f t="shared" si="45"/>
        <v>0</v>
      </c>
      <c r="N427" s="4">
        <f t="shared" si="46"/>
        <v>0</v>
      </c>
      <c r="O427" s="4">
        <f t="shared" si="47"/>
        <v>0</v>
      </c>
      <c r="P427" s="4">
        <f>IF(K427&lt;&gt;"Yes",0,IF(Sales_Tax_Settings!$B$6="Yes",E427/(1+Sales_Tax_Settings!$B$10),E427))</f>
        <v>0</v>
      </c>
      <c r="Q427" s="4">
        <f>IF(K427&lt;&gt;"Yes",0,P427*Sales_Tax_Settings!$B$8)</f>
        <v>0</v>
      </c>
      <c r="R427" s="4">
        <f>IF(K427&lt;&gt;"Yes",0,P427*Sales_Tax_Settings!$B$9)</f>
        <v>0</v>
      </c>
      <c r="S427" s="4">
        <f t="shared" si="48"/>
        <v>0</v>
      </c>
    </row>
    <row r="428" spans="1:19" x14ac:dyDescent="0.3">
      <c r="A428" t="str">
        <f>IF(Expense_Input!A428="","",Expense_Input!A428)</f>
        <v/>
      </c>
      <c r="B428" t="str">
        <f>IF(Expense_Input!B428="","",Expense_Input!B428)</f>
        <v/>
      </c>
      <c r="C428" t="str">
        <f t="shared" si="42"/>
        <v/>
      </c>
      <c r="D428" t="str">
        <f>IF(Expense_Input!C428="","",Expense_Input!C428)</f>
        <v/>
      </c>
      <c r="E428" s="4" t="str">
        <f>IF(Expense_Input!D428="","",Expense_Input!D428)</f>
        <v/>
      </c>
      <c r="F428" t="str">
        <f>IF(Expense_Input!E428="","",Expense_Input!E428)</f>
        <v/>
      </c>
      <c r="G428" t="str">
        <f>IF(Expense_Input!H428="","",Expense_Input!H428)</f>
        <v/>
      </c>
      <c r="H428" t="str">
        <f>IF(Expense_Input!I428="","Auto",Expense_Input!I428)</f>
        <v>Auto</v>
      </c>
      <c r="I428" t="str">
        <f>IF(F428="","",IFERROR(VLOOKUP(F428,Sales_Tax_Settings!$A$15:$B$27,2,FALSE),"Tax Unknown"))</f>
        <v/>
      </c>
      <c r="J428" t="str">
        <f t="shared" si="43"/>
        <v/>
      </c>
      <c r="K428" t="str">
        <f>IF(AND(Sales_Tax_Settings!$B$5="Yes",G428="Personal Expense",J428="Taxable"),"Yes","No")</f>
        <v>No</v>
      </c>
      <c r="L428" s="4">
        <f t="shared" si="44"/>
        <v>0</v>
      </c>
      <c r="M428" s="4">
        <f t="shared" si="45"/>
        <v>0</v>
      </c>
      <c r="N428" s="4">
        <f t="shared" si="46"/>
        <v>0</v>
      </c>
      <c r="O428" s="4">
        <f t="shared" si="47"/>
        <v>0</v>
      </c>
      <c r="P428" s="4">
        <f>IF(K428&lt;&gt;"Yes",0,IF(Sales_Tax_Settings!$B$6="Yes",E428/(1+Sales_Tax_Settings!$B$10),E428))</f>
        <v>0</v>
      </c>
      <c r="Q428" s="4">
        <f>IF(K428&lt;&gt;"Yes",0,P428*Sales_Tax_Settings!$B$8)</f>
        <v>0</v>
      </c>
      <c r="R428" s="4">
        <f>IF(K428&lt;&gt;"Yes",0,P428*Sales_Tax_Settings!$B$9)</f>
        <v>0</v>
      </c>
      <c r="S428" s="4">
        <f t="shared" si="48"/>
        <v>0</v>
      </c>
    </row>
    <row r="429" spans="1:19" x14ac:dyDescent="0.3">
      <c r="A429" t="str">
        <f>IF(Expense_Input!A429="","",Expense_Input!A429)</f>
        <v/>
      </c>
      <c r="B429" t="str">
        <f>IF(Expense_Input!B429="","",Expense_Input!B429)</f>
        <v/>
      </c>
      <c r="C429" t="str">
        <f t="shared" si="42"/>
        <v/>
      </c>
      <c r="D429" t="str">
        <f>IF(Expense_Input!C429="","",Expense_Input!C429)</f>
        <v/>
      </c>
      <c r="E429" s="4" t="str">
        <f>IF(Expense_Input!D429="","",Expense_Input!D429)</f>
        <v/>
      </c>
      <c r="F429" t="str">
        <f>IF(Expense_Input!E429="","",Expense_Input!E429)</f>
        <v/>
      </c>
      <c r="G429" t="str">
        <f>IF(Expense_Input!H429="","",Expense_Input!H429)</f>
        <v/>
      </c>
      <c r="H429" t="str">
        <f>IF(Expense_Input!I429="","Auto",Expense_Input!I429)</f>
        <v>Auto</v>
      </c>
      <c r="I429" t="str">
        <f>IF(F429="","",IFERROR(VLOOKUP(F429,Sales_Tax_Settings!$A$15:$B$27,2,FALSE),"Tax Unknown"))</f>
        <v/>
      </c>
      <c r="J429" t="str">
        <f t="shared" si="43"/>
        <v/>
      </c>
      <c r="K429" t="str">
        <f>IF(AND(Sales_Tax_Settings!$B$5="Yes",G429="Personal Expense",J429="Taxable"),"Yes","No")</f>
        <v>No</v>
      </c>
      <c r="L429" s="4">
        <f t="shared" si="44"/>
        <v>0</v>
      </c>
      <c r="M429" s="4">
        <f t="shared" si="45"/>
        <v>0</v>
      </c>
      <c r="N429" s="4">
        <f t="shared" si="46"/>
        <v>0</v>
      </c>
      <c r="O429" s="4">
        <f t="shared" si="47"/>
        <v>0</v>
      </c>
      <c r="P429" s="4">
        <f>IF(K429&lt;&gt;"Yes",0,IF(Sales_Tax_Settings!$B$6="Yes",E429/(1+Sales_Tax_Settings!$B$10),E429))</f>
        <v>0</v>
      </c>
      <c r="Q429" s="4">
        <f>IF(K429&lt;&gt;"Yes",0,P429*Sales_Tax_Settings!$B$8)</f>
        <v>0</v>
      </c>
      <c r="R429" s="4">
        <f>IF(K429&lt;&gt;"Yes",0,P429*Sales_Tax_Settings!$B$9)</f>
        <v>0</v>
      </c>
      <c r="S429" s="4">
        <f t="shared" si="48"/>
        <v>0</v>
      </c>
    </row>
    <row r="430" spans="1:19" x14ac:dyDescent="0.3">
      <c r="A430" t="str">
        <f>IF(Expense_Input!A430="","",Expense_Input!A430)</f>
        <v/>
      </c>
      <c r="B430" t="str">
        <f>IF(Expense_Input!B430="","",Expense_Input!B430)</f>
        <v/>
      </c>
      <c r="C430" t="str">
        <f t="shared" si="42"/>
        <v/>
      </c>
      <c r="D430" t="str">
        <f>IF(Expense_Input!C430="","",Expense_Input!C430)</f>
        <v/>
      </c>
      <c r="E430" s="4" t="str">
        <f>IF(Expense_Input!D430="","",Expense_Input!D430)</f>
        <v/>
      </c>
      <c r="F430" t="str">
        <f>IF(Expense_Input!E430="","",Expense_Input!E430)</f>
        <v/>
      </c>
      <c r="G430" t="str">
        <f>IF(Expense_Input!H430="","",Expense_Input!H430)</f>
        <v/>
      </c>
      <c r="H430" t="str">
        <f>IF(Expense_Input!I430="","Auto",Expense_Input!I430)</f>
        <v>Auto</v>
      </c>
      <c r="I430" t="str">
        <f>IF(F430="","",IFERROR(VLOOKUP(F430,Sales_Tax_Settings!$A$15:$B$27,2,FALSE),"Tax Unknown"))</f>
        <v/>
      </c>
      <c r="J430" t="str">
        <f t="shared" si="43"/>
        <v/>
      </c>
      <c r="K430" t="str">
        <f>IF(AND(Sales_Tax_Settings!$B$5="Yes",G430="Personal Expense",J430="Taxable"),"Yes","No")</f>
        <v>No</v>
      </c>
      <c r="L430" s="4">
        <f t="shared" si="44"/>
        <v>0</v>
      </c>
      <c r="M430" s="4">
        <f t="shared" si="45"/>
        <v>0</v>
      </c>
      <c r="N430" s="4">
        <f t="shared" si="46"/>
        <v>0</v>
      </c>
      <c r="O430" s="4">
        <f t="shared" si="47"/>
        <v>0</v>
      </c>
      <c r="P430" s="4">
        <f>IF(K430&lt;&gt;"Yes",0,IF(Sales_Tax_Settings!$B$6="Yes",E430/(1+Sales_Tax_Settings!$B$10),E430))</f>
        <v>0</v>
      </c>
      <c r="Q430" s="4">
        <f>IF(K430&lt;&gt;"Yes",0,P430*Sales_Tax_Settings!$B$8)</f>
        <v>0</v>
      </c>
      <c r="R430" s="4">
        <f>IF(K430&lt;&gt;"Yes",0,P430*Sales_Tax_Settings!$B$9)</f>
        <v>0</v>
      </c>
      <c r="S430" s="4">
        <f t="shared" si="48"/>
        <v>0</v>
      </c>
    </row>
    <row r="431" spans="1:19" x14ac:dyDescent="0.3">
      <c r="A431" t="str">
        <f>IF(Expense_Input!A431="","",Expense_Input!A431)</f>
        <v/>
      </c>
      <c r="B431" t="str">
        <f>IF(Expense_Input!B431="","",Expense_Input!B431)</f>
        <v/>
      </c>
      <c r="C431" t="str">
        <f t="shared" si="42"/>
        <v/>
      </c>
      <c r="D431" t="str">
        <f>IF(Expense_Input!C431="","",Expense_Input!C431)</f>
        <v/>
      </c>
      <c r="E431" s="4" t="str">
        <f>IF(Expense_Input!D431="","",Expense_Input!D431)</f>
        <v/>
      </c>
      <c r="F431" t="str">
        <f>IF(Expense_Input!E431="","",Expense_Input!E431)</f>
        <v/>
      </c>
      <c r="G431" t="str">
        <f>IF(Expense_Input!H431="","",Expense_Input!H431)</f>
        <v/>
      </c>
      <c r="H431" t="str">
        <f>IF(Expense_Input!I431="","Auto",Expense_Input!I431)</f>
        <v>Auto</v>
      </c>
      <c r="I431" t="str">
        <f>IF(F431="","",IFERROR(VLOOKUP(F431,Sales_Tax_Settings!$A$15:$B$27,2,FALSE),"Tax Unknown"))</f>
        <v/>
      </c>
      <c r="J431" t="str">
        <f t="shared" si="43"/>
        <v/>
      </c>
      <c r="K431" t="str">
        <f>IF(AND(Sales_Tax_Settings!$B$5="Yes",G431="Personal Expense",J431="Taxable"),"Yes","No")</f>
        <v>No</v>
      </c>
      <c r="L431" s="4">
        <f t="shared" si="44"/>
        <v>0</v>
      </c>
      <c r="M431" s="4">
        <f t="shared" si="45"/>
        <v>0</v>
      </c>
      <c r="N431" s="4">
        <f t="shared" si="46"/>
        <v>0</v>
      </c>
      <c r="O431" s="4">
        <f t="shared" si="47"/>
        <v>0</v>
      </c>
      <c r="P431" s="4">
        <f>IF(K431&lt;&gt;"Yes",0,IF(Sales_Tax_Settings!$B$6="Yes",E431/(1+Sales_Tax_Settings!$B$10),E431))</f>
        <v>0</v>
      </c>
      <c r="Q431" s="4">
        <f>IF(K431&lt;&gt;"Yes",0,P431*Sales_Tax_Settings!$B$8)</f>
        <v>0</v>
      </c>
      <c r="R431" s="4">
        <f>IF(K431&lt;&gt;"Yes",0,P431*Sales_Tax_Settings!$B$9)</f>
        <v>0</v>
      </c>
      <c r="S431" s="4">
        <f t="shared" si="48"/>
        <v>0</v>
      </c>
    </row>
    <row r="432" spans="1:19" x14ac:dyDescent="0.3">
      <c r="A432" t="str">
        <f>IF(Expense_Input!A432="","",Expense_Input!A432)</f>
        <v/>
      </c>
      <c r="B432" t="str">
        <f>IF(Expense_Input!B432="","",Expense_Input!B432)</f>
        <v/>
      </c>
      <c r="C432" t="str">
        <f t="shared" si="42"/>
        <v/>
      </c>
      <c r="D432" t="str">
        <f>IF(Expense_Input!C432="","",Expense_Input!C432)</f>
        <v/>
      </c>
      <c r="E432" s="4" t="str">
        <f>IF(Expense_Input!D432="","",Expense_Input!D432)</f>
        <v/>
      </c>
      <c r="F432" t="str">
        <f>IF(Expense_Input!E432="","",Expense_Input!E432)</f>
        <v/>
      </c>
      <c r="G432" t="str">
        <f>IF(Expense_Input!H432="","",Expense_Input!H432)</f>
        <v/>
      </c>
      <c r="H432" t="str">
        <f>IF(Expense_Input!I432="","Auto",Expense_Input!I432)</f>
        <v>Auto</v>
      </c>
      <c r="I432" t="str">
        <f>IF(F432="","",IFERROR(VLOOKUP(F432,Sales_Tax_Settings!$A$15:$B$27,2,FALSE),"Tax Unknown"))</f>
        <v/>
      </c>
      <c r="J432" t="str">
        <f t="shared" si="43"/>
        <v/>
      </c>
      <c r="K432" t="str">
        <f>IF(AND(Sales_Tax_Settings!$B$5="Yes",G432="Personal Expense",J432="Taxable"),"Yes","No")</f>
        <v>No</v>
      </c>
      <c r="L432" s="4">
        <f t="shared" si="44"/>
        <v>0</v>
      </c>
      <c r="M432" s="4">
        <f t="shared" si="45"/>
        <v>0</v>
      </c>
      <c r="N432" s="4">
        <f t="shared" si="46"/>
        <v>0</v>
      </c>
      <c r="O432" s="4">
        <f t="shared" si="47"/>
        <v>0</v>
      </c>
      <c r="P432" s="4">
        <f>IF(K432&lt;&gt;"Yes",0,IF(Sales_Tax_Settings!$B$6="Yes",E432/(1+Sales_Tax_Settings!$B$10),E432))</f>
        <v>0</v>
      </c>
      <c r="Q432" s="4">
        <f>IF(K432&lt;&gt;"Yes",0,P432*Sales_Tax_Settings!$B$8)</f>
        <v>0</v>
      </c>
      <c r="R432" s="4">
        <f>IF(K432&lt;&gt;"Yes",0,P432*Sales_Tax_Settings!$B$9)</f>
        <v>0</v>
      </c>
      <c r="S432" s="4">
        <f t="shared" si="48"/>
        <v>0</v>
      </c>
    </row>
    <row r="433" spans="1:19" x14ac:dyDescent="0.3">
      <c r="A433" t="str">
        <f>IF(Expense_Input!A433="","",Expense_Input!A433)</f>
        <v/>
      </c>
      <c r="B433" t="str">
        <f>IF(Expense_Input!B433="","",Expense_Input!B433)</f>
        <v/>
      </c>
      <c r="C433" t="str">
        <f t="shared" si="42"/>
        <v/>
      </c>
      <c r="D433" t="str">
        <f>IF(Expense_Input!C433="","",Expense_Input!C433)</f>
        <v/>
      </c>
      <c r="E433" s="4" t="str">
        <f>IF(Expense_Input!D433="","",Expense_Input!D433)</f>
        <v/>
      </c>
      <c r="F433" t="str">
        <f>IF(Expense_Input!E433="","",Expense_Input!E433)</f>
        <v/>
      </c>
      <c r="G433" t="str">
        <f>IF(Expense_Input!H433="","",Expense_Input!H433)</f>
        <v/>
      </c>
      <c r="H433" t="str">
        <f>IF(Expense_Input!I433="","Auto",Expense_Input!I433)</f>
        <v>Auto</v>
      </c>
      <c r="I433" t="str">
        <f>IF(F433="","",IFERROR(VLOOKUP(F433,Sales_Tax_Settings!$A$15:$B$27,2,FALSE),"Tax Unknown"))</f>
        <v/>
      </c>
      <c r="J433" t="str">
        <f t="shared" si="43"/>
        <v/>
      </c>
      <c r="K433" t="str">
        <f>IF(AND(Sales_Tax_Settings!$B$5="Yes",G433="Personal Expense",J433="Taxable"),"Yes","No")</f>
        <v>No</v>
      </c>
      <c r="L433" s="4">
        <f t="shared" si="44"/>
        <v>0</v>
      </c>
      <c r="M433" s="4">
        <f t="shared" si="45"/>
        <v>0</v>
      </c>
      <c r="N433" s="4">
        <f t="shared" si="46"/>
        <v>0</v>
      </c>
      <c r="O433" s="4">
        <f t="shared" si="47"/>
        <v>0</v>
      </c>
      <c r="P433" s="4">
        <f>IF(K433&lt;&gt;"Yes",0,IF(Sales_Tax_Settings!$B$6="Yes",E433/(1+Sales_Tax_Settings!$B$10),E433))</f>
        <v>0</v>
      </c>
      <c r="Q433" s="4">
        <f>IF(K433&lt;&gt;"Yes",0,P433*Sales_Tax_Settings!$B$8)</f>
        <v>0</v>
      </c>
      <c r="R433" s="4">
        <f>IF(K433&lt;&gt;"Yes",0,P433*Sales_Tax_Settings!$B$9)</f>
        <v>0</v>
      </c>
      <c r="S433" s="4">
        <f t="shared" si="48"/>
        <v>0</v>
      </c>
    </row>
    <row r="434" spans="1:19" x14ac:dyDescent="0.3">
      <c r="A434" t="str">
        <f>IF(Expense_Input!A434="","",Expense_Input!A434)</f>
        <v/>
      </c>
      <c r="B434" t="str">
        <f>IF(Expense_Input!B434="","",Expense_Input!B434)</f>
        <v/>
      </c>
      <c r="C434" t="str">
        <f t="shared" si="42"/>
        <v/>
      </c>
      <c r="D434" t="str">
        <f>IF(Expense_Input!C434="","",Expense_Input!C434)</f>
        <v/>
      </c>
      <c r="E434" s="4" t="str">
        <f>IF(Expense_Input!D434="","",Expense_Input!D434)</f>
        <v/>
      </c>
      <c r="F434" t="str">
        <f>IF(Expense_Input!E434="","",Expense_Input!E434)</f>
        <v/>
      </c>
      <c r="G434" t="str">
        <f>IF(Expense_Input!H434="","",Expense_Input!H434)</f>
        <v/>
      </c>
      <c r="H434" t="str">
        <f>IF(Expense_Input!I434="","Auto",Expense_Input!I434)</f>
        <v>Auto</v>
      </c>
      <c r="I434" t="str">
        <f>IF(F434="","",IFERROR(VLOOKUP(F434,Sales_Tax_Settings!$A$15:$B$27,2,FALSE),"Tax Unknown"))</f>
        <v/>
      </c>
      <c r="J434" t="str">
        <f t="shared" si="43"/>
        <v/>
      </c>
      <c r="K434" t="str">
        <f>IF(AND(Sales_Tax_Settings!$B$5="Yes",G434="Personal Expense",J434="Taxable"),"Yes","No")</f>
        <v>No</v>
      </c>
      <c r="L434" s="4">
        <f t="shared" si="44"/>
        <v>0</v>
      </c>
      <c r="M434" s="4">
        <f t="shared" si="45"/>
        <v>0</v>
      </c>
      <c r="N434" s="4">
        <f t="shared" si="46"/>
        <v>0</v>
      </c>
      <c r="O434" s="4">
        <f t="shared" si="47"/>
        <v>0</v>
      </c>
      <c r="P434" s="4">
        <f>IF(K434&lt;&gt;"Yes",0,IF(Sales_Tax_Settings!$B$6="Yes",E434/(1+Sales_Tax_Settings!$B$10),E434))</f>
        <v>0</v>
      </c>
      <c r="Q434" s="4">
        <f>IF(K434&lt;&gt;"Yes",0,P434*Sales_Tax_Settings!$B$8)</f>
        <v>0</v>
      </c>
      <c r="R434" s="4">
        <f>IF(K434&lt;&gt;"Yes",0,P434*Sales_Tax_Settings!$B$9)</f>
        <v>0</v>
      </c>
      <c r="S434" s="4">
        <f t="shared" si="48"/>
        <v>0</v>
      </c>
    </row>
    <row r="435" spans="1:19" x14ac:dyDescent="0.3">
      <c r="A435" t="str">
        <f>IF(Expense_Input!A435="","",Expense_Input!A435)</f>
        <v/>
      </c>
      <c r="B435" t="str">
        <f>IF(Expense_Input!B435="","",Expense_Input!B435)</f>
        <v/>
      </c>
      <c r="C435" t="str">
        <f t="shared" si="42"/>
        <v/>
      </c>
      <c r="D435" t="str">
        <f>IF(Expense_Input!C435="","",Expense_Input!C435)</f>
        <v/>
      </c>
      <c r="E435" s="4" t="str">
        <f>IF(Expense_Input!D435="","",Expense_Input!D435)</f>
        <v/>
      </c>
      <c r="F435" t="str">
        <f>IF(Expense_Input!E435="","",Expense_Input!E435)</f>
        <v/>
      </c>
      <c r="G435" t="str">
        <f>IF(Expense_Input!H435="","",Expense_Input!H435)</f>
        <v/>
      </c>
      <c r="H435" t="str">
        <f>IF(Expense_Input!I435="","Auto",Expense_Input!I435)</f>
        <v>Auto</v>
      </c>
      <c r="I435" t="str">
        <f>IF(F435="","",IFERROR(VLOOKUP(F435,Sales_Tax_Settings!$A$15:$B$27,2,FALSE),"Tax Unknown"))</f>
        <v/>
      </c>
      <c r="J435" t="str">
        <f t="shared" si="43"/>
        <v/>
      </c>
      <c r="K435" t="str">
        <f>IF(AND(Sales_Tax_Settings!$B$5="Yes",G435="Personal Expense",J435="Taxable"),"Yes","No")</f>
        <v>No</v>
      </c>
      <c r="L435" s="4">
        <f t="shared" si="44"/>
        <v>0</v>
      </c>
      <c r="M435" s="4">
        <f t="shared" si="45"/>
        <v>0</v>
      </c>
      <c r="N435" s="4">
        <f t="shared" si="46"/>
        <v>0</v>
      </c>
      <c r="O435" s="4">
        <f t="shared" si="47"/>
        <v>0</v>
      </c>
      <c r="P435" s="4">
        <f>IF(K435&lt;&gt;"Yes",0,IF(Sales_Tax_Settings!$B$6="Yes",E435/(1+Sales_Tax_Settings!$B$10),E435))</f>
        <v>0</v>
      </c>
      <c r="Q435" s="4">
        <f>IF(K435&lt;&gt;"Yes",0,P435*Sales_Tax_Settings!$B$8)</f>
        <v>0</v>
      </c>
      <c r="R435" s="4">
        <f>IF(K435&lt;&gt;"Yes",0,P435*Sales_Tax_Settings!$B$9)</f>
        <v>0</v>
      </c>
      <c r="S435" s="4">
        <f t="shared" si="48"/>
        <v>0</v>
      </c>
    </row>
    <row r="436" spans="1:19" x14ac:dyDescent="0.3">
      <c r="A436" t="str">
        <f>IF(Expense_Input!A436="","",Expense_Input!A436)</f>
        <v/>
      </c>
      <c r="B436" t="str">
        <f>IF(Expense_Input!B436="","",Expense_Input!B436)</f>
        <v/>
      </c>
      <c r="C436" t="str">
        <f t="shared" si="42"/>
        <v/>
      </c>
      <c r="D436" t="str">
        <f>IF(Expense_Input!C436="","",Expense_Input!C436)</f>
        <v/>
      </c>
      <c r="E436" s="4" t="str">
        <f>IF(Expense_Input!D436="","",Expense_Input!D436)</f>
        <v/>
      </c>
      <c r="F436" t="str">
        <f>IF(Expense_Input!E436="","",Expense_Input!E436)</f>
        <v/>
      </c>
      <c r="G436" t="str">
        <f>IF(Expense_Input!H436="","",Expense_Input!H436)</f>
        <v/>
      </c>
      <c r="H436" t="str">
        <f>IF(Expense_Input!I436="","Auto",Expense_Input!I436)</f>
        <v>Auto</v>
      </c>
      <c r="I436" t="str">
        <f>IF(F436="","",IFERROR(VLOOKUP(F436,Sales_Tax_Settings!$A$15:$B$27,2,FALSE),"Tax Unknown"))</f>
        <v/>
      </c>
      <c r="J436" t="str">
        <f t="shared" si="43"/>
        <v/>
      </c>
      <c r="K436" t="str">
        <f>IF(AND(Sales_Tax_Settings!$B$5="Yes",G436="Personal Expense",J436="Taxable"),"Yes","No")</f>
        <v>No</v>
      </c>
      <c r="L436" s="4">
        <f t="shared" si="44"/>
        <v>0</v>
      </c>
      <c r="M436" s="4">
        <f t="shared" si="45"/>
        <v>0</v>
      </c>
      <c r="N436" s="4">
        <f t="shared" si="46"/>
        <v>0</v>
      </c>
      <c r="O436" s="4">
        <f t="shared" si="47"/>
        <v>0</v>
      </c>
      <c r="P436" s="4">
        <f>IF(K436&lt;&gt;"Yes",0,IF(Sales_Tax_Settings!$B$6="Yes",E436/(1+Sales_Tax_Settings!$B$10),E436))</f>
        <v>0</v>
      </c>
      <c r="Q436" s="4">
        <f>IF(K436&lt;&gt;"Yes",0,P436*Sales_Tax_Settings!$B$8)</f>
        <v>0</v>
      </c>
      <c r="R436" s="4">
        <f>IF(K436&lt;&gt;"Yes",0,P436*Sales_Tax_Settings!$B$9)</f>
        <v>0</v>
      </c>
      <c r="S436" s="4">
        <f t="shared" si="48"/>
        <v>0</v>
      </c>
    </row>
    <row r="437" spans="1:19" x14ac:dyDescent="0.3">
      <c r="A437" t="str">
        <f>IF(Expense_Input!A437="","",Expense_Input!A437)</f>
        <v/>
      </c>
      <c r="B437" t="str">
        <f>IF(Expense_Input!B437="","",Expense_Input!B437)</f>
        <v/>
      </c>
      <c r="C437" t="str">
        <f t="shared" si="42"/>
        <v/>
      </c>
      <c r="D437" t="str">
        <f>IF(Expense_Input!C437="","",Expense_Input!C437)</f>
        <v/>
      </c>
      <c r="E437" s="4" t="str">
        <f>IF(Expense_Input!D437="","",Expense_Input!D437)</f>
        <v/>
      </c>
      <c r="F437" t="str">
        <f>IF(Expense_Input!E437="","",Expense_Input!E437)</f>
        <v/>
      </c>
      <c r="G437" t="str">
        <f>IF(Expense_Input!H437="","",Expense_Input!H437)</f>
        <v/>
      </c>
      <c r="H437" t="str">
        <f>IF(Expense_Input!I437="","Auto",Expense_Input!I437)</f>
        <v>Auto</v>
      </c>
      <c r="I437" t="str">
        <f>IF(F437="","",IFERROR(VLOOKUP(F437,Sales_Tax_Settings!$A$15:$B$27,2,FALSE),"Tax Unknown"))</f>
        <v/>
      </c>
      <c r="J437" t="str">
        <f t="shared" si="43"/>
        <v/>
      </c>
      <c r="K437" t="str">
        <f>IF(AND(Sales_Tax_Settings!$B$5="Yes",G437="Personal Expense",J437="Taxable"),"Yes","No")</f>
        <v>No</v>
      </c>
      <c r="L437" s="4">
        <f t="shared" si="44"/>
        <v>0</v>
      </c>
      <c r="M437" s="4">
        <f t="shared" si="45"/>
        <v>0</v>
      </c>
      <c r="N437" s="4">
        <f t="shared" si="46"/>
        <v>0</v>
      </c>
      <c r="O437" s="4">
        <f t="shared" si="47"/>
        <v>0</v>
      </c>
      <c r="P437" s="4">
        <f>IF(K437&lt;&gt;"Yes",0,IF(Sales_Tax_Settings!$B$6="Yes",E437/(1+Sales_Tax_Settings!$B$10),E437))</f>
        <v>0</v>
      </c>
      <c r="Q437" s="4">
        <f>IF(K437&lt;&gt;"Yes",0,P437*Sales_Tax_Settings!$B$8)</f>
        <v>0</v>
      </c>
      <c r="R437" s="4">
        <f>IF(K437&lt;&gt;"Yes",0,P437*Sales_Tax_Settings!$B$9)</f>
        <v>0</v>
      </c>
      <c r="S437" s="4">
        <f t="shared" si="48"/>
        <v>0</v>
      </c>
    </row>
    <row r="438" spans="1:19" x14ac:dyDescent="0.3">
      <c r="A438" t="str">
        <f>IF(Expense_Input!A438="","",Expense_Input!A438)</f>
        <v/>
      </c>
      <c r="B438" t="str">
        <f>IF(Expense_Input!B438="","",Expense_Input!B438)</f>
        <v/>
      </c>
      <c r="C438" t="str">
        <f t="shared" si="42"/>
        <v/>
      </c>
      <c r="D438" t="str">
        <f>IF(Expense_Input!C438="","",Expense_Input!C438)</f>
        <v/>
      </c>
      <c r="E438" s="4" t="str">
        <f>IF(Expense_Input!D438="","",Expense_Input!D438)</f>
        <v/>
      </c>
      <c r="F438" t="str">
        <f>IF(Expense_Input!E438="","",Expense_Input!E438)</f>
        <v/>
      </c>
      <c r="G438" t="str">
        <f>IF(Expense_Input!H438="","",Expense_Input!H438)</f>
        <v/>
      </c>
      <c r="H438" t="str">
        <f>IF(Expense_Input!I438="","Auto",Expense_Input!I438)</f>
        <v>Auto</v>
      </c>
      <c r="I438" t="str">
        <f>IF(F438="","",IFERROR(VLOOKUP(F438,Sales_Tax_Settings!$A$15:$B$27,2,FALSE),"Tax Unknown"))</f>
        <v/>
      </c>
      <c r="J438" t="str">
        <f t="shared" si="43"/>
        <v/>
      </c>
      <c r="K438" t="str">
        <f>IF(AND(Sales_Tax_Settings!$B$5="Yes",G438="Personal Expense",J438="Taxable"),"Yes","No")</f>
        <v>No</v>
      </c>
      <c r="L438" s="4">
        <f t="shared" si="44"/>
        <v>0</v>
      </c>
      <c r="M438" s="4">
        <f t="shared" si="45"/>
        <v>0</v>
      </c>
      <c r="N438" s="4">
        <f t="shared" si="46"/>
        <v>0</v>
      </c>
      <c r="O438" s="4">
        <f t="shared" si="47"/>
        <v>0</v>
      </c>
      <c r="P438" s="4">
        <f>IF(K438&lt;&gt;"Yes",0,IF(Sales_Tax_Settings!$B$6="Yes",E438/(1+Sales_Tax_Settings!$B$10),E438))</f>
        <v>0</v>
      </c>
      <c r="Q438" s="4">
        <f>IF(K438&lt;&gt;"Yes",0,P438*Sales_Tax_Settings!$B$8)</f>
        <v>0</v>
      </c>
      <c r="R438" s="4">
        <f>IF(K438&lt;&gt;"Yes",0,P438*Sales_Tax_Settings!$B$9)</f>
        <v>0</v>
      </c>
      <c r="S438" s="4">
        <f t="shared" si="48"/>
        <v>0</v>
      </c>
    </row>
    <row r="439" spans="1:19" x14ac:dyDescent="0.3">
      <c r="A439" t="str">
        <f>IF(Expense_Input!A439="","",Expense_Input!A439)</f>
        <v/>
      </c>
      <c r="B439" t="str">
        <f>IF(Expense_Input!B439="","",Expense_Input!B439)</f>
        <v/>
      </c>
      <c r="C439" t="str">
        <f t="shared" si="42"/>
        <v/>
      </c>
      <c r="D439" t="str">
        <f>IF(Expense_Input!C439="","",Expense_Input!C439)</f>
        <v/>
      </c>
      <c r="E439" s="4" t="str">
        <f>IF(Expense_Input!D439="","",Expense_Input!D439)</f>
        <v/>
      </c>
      <c r="F439" t="str">
        <f>IF(Expense_Input!E439="","",Expense_Input!E439)</f>
        <v/>
      </c>
      <c r="G439" t="str">
        <f>IF(Expense_Input!H439="","",Expense_Input!H439)</f>
        <v/>
      </c>
      <c r="H439" t="str">
        <f>IF(Expense_Input!I439="","Auto",Expense_Input!I439)</f>
        <v>Auto</v>
      </c>
      <c r="I439" t="str">
        <f>IF(F439="","",IFERROR(VLOOKUP(F439,Sales_Tax_Settings!$A$15:$B$27,2,FALSE),"Tax Unknown"))</f>
        <v/>
      </c>
      <c r="J439" t="str">
        <f t="shared" si="43"/>
        <v/>
      </c>
      <c r="K439" t="str">
        <f>IF(AND(Sales_Tax_Settings!$B$5="Yes",G439="Personal Expense",J439="Taxable"),"Yes","No")</f>
        <v>No</v>
      </c>
      <c r="L439" s="4">
        <f t="shared" si="44"/>
        <v>0</v>
      </c>
      <c r="M439" s="4">
        <f t="shared" si="45"/>
        <v>0</v>
      </c>
      <c r="N439" s="4">
        <f t="shared" si="46"/>
        <v>0</v>
      </c>
      <c r="O439" s="4">
        <f t="shared" si="47"/>
        <v>0</v>
      </c>
      <c r="P439" s="4">
        <f>IF(K439&lt;&gt;"Yes",0,IF(Sales_Tax_Settings!$B$6="Yes",E439/(1+Sales_Tax_Settings!$B$10),E439))</f>
        <v>0</v>
      </c>
      <c r="Q439" s="4">
        <f>IF(K439&lt;&gt;"Yes",0,P439*Sales_Tax_Settings!$B$8)</f>
        <v>0</v>
      </c>
      <c r="R439" s="4">
        <f>IF(K439&lt;&gt;"Yes",0,P439*Sales_Tax_Settings!$B$9)</f>
        <v>0</v>
      </c>
      <c r="S439" s="4">
        <f t="shared" si="48"/>
        <v>0</v>
      </c>
    </row>
    <row r="440" spans="1:19" x14ac:dyDescent="0.3">
      <c r="A440" t="str">
        <f>IF(Expense_Input!A440="","",Expense_Input!A440)</f>
        <v/>
      </c>
      <c r="B440" t="str">
        <f>IF(Expense_Input!B440="","",Expense_Input!B440)</f>
        <v/>
      </c>
      <c r="C440" t="str">
        <f t="shared" si="42"/>
        <v/>
      </c>
      <c r="D440" t="str">
        <f>IF(Expense_Input!C440="","",Expense_Input!C440)</f>
        <v/>
      </c>
      <c r="E440" s="4" t="str">
        <f>IF(Expense_Input!D440="","",Expense_Input!D440)</f>
        <v/>
      </c>
      <c r="F440" t="str">
        <f>IF(Expense_Input!E440="","",Expense_Input!E440)</f>
        <v/>
      </c>
      <c r="G440" t="str">
        <f>IF(Expense_Input!H440="","",Expense_Input!H440)</f>
        <v/>
      </c>
      <c r="H440" t="str">
        <f>IF(Expense_Input!I440="","Auto",Expense_Input!I440)</f>
        <v>Auto</v>
      </c>
      <c r="I440" t="str">
        <f>IF(F440="","",IFERROR(VLOOKUP(F440,Sales_Tax_Settings!$A$15:$B$27,2,FALSE),"Tax Unknown"))</f>
        <v/>
      </c>
      <c r="J440" t="str">
        <f t="shared" si="43"/>
        <v/>
      </c>
      <c r="K440" t="str">
        <f>IF(AND(Sales_Tax_Settings!$B$5="Yes",G440="Personal Expense",J440="Taxable"),"Yes","No")</f>
        <v>No</v>
      </c>
      <c r="L440" s="4">
        <f t="shared" si="44"/>
        <v>0</v>
      </c>
      <c r="M440" s="4">
        <f t="shared" si="45"/>
        <v>0</v>
      </c>
      <c r="N440" s="4">
        <f t="shared" si="46"/>
        <v>0</v>
      </c>
      <c r="O440" s="4">
        <f t="shared" si="47"/>
        <v>0</v>
      </c>
      <c r="P440" s="4">
        <f>IF(K440&lt;&gt;"Yes",0,IF(Sales_Tax_Settings!$B$6="Yes",E440/(1+Sales_Tax_Settings!$B$10),E440))</f>
        <v>0</v>
      </c>
      <c r="Q440" s="4">
        <f>IF(K440&lt;&gt;"Yes",0,P440*Sales_Tax_Settings!$B$8)</f>
        <v>0</v>
      </c>
      <c r="R440" s="4">
        <f>IF(K440&lt;&gt;"Yes",0,P440*Sales_Tax_Settings!$B$9)</f>
        <v>0</v>
      </c>
      <c r="S440" s="4">
        <f t="shared" si="48"/>
        <v>0</v>
      </c>
    </row>
    <row r="441" spans="1:19" x14ac:dyDescent="0.3">
      <c r="A441" t="str">
        <f>IF(Expense_Input!A441="","",Expense_Input!A441)</f>
        <v/>
      </c>
      <c r="B441" t="str">
        <f>IF(Expense_Input!B441="","",Expense_Input!B441)</f>
        <v/>
      </c>
      <c r="C441" t="str">
        <f t="shared" si="42"/>
        <v/>
      </c>
      <c r="D441" t="str">
        <f>IF(Expense_Input!C441="","",Expense_Input!C441)</f>
        <v/>
      </c>
      <c r="E441" s="4" t="str">
        <f>IF(Expense_Input!D441="","",Expense_Input!D441)</f>
        <v/>
      </c>
      <c r="F441" t="str">
        <f>IF(Expense_Input!E441="","",Expense_Input!E441)</f>
        <v/>
      </c>
      <c r="G441" t="str">
        <f>IF(Expense_Input!H441="","",Expense_Input!H441)</f>
        <v/>
      </c>
      <c r="H441" t="str">
        <f>IF(Expense_Input!I441="","Auto",Expense_Input!I441)</f>
        <v>Auto</v>
      </c>
      <c r="I441" t="str">
        <f>IF(F441="","",IFERROR(VLOOKUP(F441,Sales_Tax_Settings!$A$15:$B$27,2,FALSE),"Tax Unknown"))</f>
        <v/>
      </c>
      <c r="J441" t="str">
        <f t="shared" si="43"/>
        <v/>
      </c>
      <c r="K441" t="str">
        <f>IF(AND(Sales_Tax_Settings!$B$5="Yes",G441="Personal Expense",J441="Taxable"),"Yes","No")</f>
        <v>No</v>
      </c>
      <c r="L441" s="4">
        <f t="shared" si="44"/>
        <v>0</v>
      </c>
      <c r="M441" s="4">
        <f t="shared" si="45"/>
        <v>0</v>
      </c>
      <c r="N441" s="4">
        <f t="shared" si="46"/>
        <v>0</v>
      </c>
      <c r="O441" s="4">
        <f t="shared" si="47"/>
        <v>0</v>
      </c>
      <c r="P441" s="4">
        <f>IF(K441&lt;&gt;"Yes",0,IF(Sales_Tax_Settings!$B$6="Yes",E441/(1+Sales_Tax_Settings!$B$10),E441))</f>
        <v>0</v>
      </c>
      <c r="Q441" s="4">
        <f>IF(K441&lt;&gt;"Yes",0,P441*Sales_Tax_Settings!$B$8)</f>
        <v>0</v>
      </c>
      <c r="R441" s="4">
        <f>IF(K441&lt;&gt;"Yes",0,P441*Sales_Tax_Settings!$B$9)</f>
        <v>0</v>
      </c>
      <c r="S441" s="4">
        <f t="shared" si="48"/>
        <v>0</v>
      </c>
    </row>
    <row r="442" spans="1:19" x14ac:dyDescent="0.3">
      <c r="A442" t="str">
        <f>IF(Expense_Input!A442="","",Expense_Input!A442)</f>
        <v/>
      </c>
      <c r="B442" t="str">
        <f>IF(Expense_Input!B442="","",Expense_Input!B442)</f>
        <v/>
      </c>
      <c r="C442" t="str">
        <f t="shared" si="42"/>
        <v/>
      </c>
      <c r="D442" t="str">
        <f>IF(Expense_Input!C442="","",Expense_Input!C442)</f>
        <v/>
      </c>
      <c r="E442" s="4" t="str">
        <f>IF(Expense_Input!D442="","",Expense_Input!D442)</f>
        <v/>
      </c>
      <c r="F442" t="str">
        <f>IF(Expense_Input!E442="","",Expense_Input!E442)</f>
        <v/>
      </c>
      <c r="G442" t="str">
        <f>IF(Expense_Input!H442="","",Expense_Input!H442)</f>
        <v/>
      </c>
      <c r="H442" t="str">
        <f>IF(Expense_Input!I442="","Auto",Expense_Input!I442)</f>
        <v>Auto</v>
      </c>
      <c r="I442" t="str">
        <f>IF(F442="","",IFERROR(VLOOKUP(F442,Sales_Tax_Settings!$A$15:$B$27,2,FALSE),"Tax Unknown"))</f>
        <v/>
      </c>
      <c r="J442" t="str">
        <f t="shared" si="43"/>
        <v/>
      </c>
      <c r="K442" t="str">
        <f>IF(AND(Sales_Tax_Settings!$B$5="Yes",G442="Personal Expense",J442="Taxable"),"Yes","No")</f>
        <v>No</v>
      </c>
      <c r="L442" s="4">
        <f t="shared" si="44"/>
        <v>0</v>
      </c>
      <c r="M442" s="4">
        <f t="shared" si="45"/>
        <v>0</v>
      </c>
      <c r="N442" s="4">
        <f t="shared" si="46"/>
        <v>0</v>
      </c>
      <c r="O442" s="4">
        <f t="shared" si="47"/>
        <v>0</v>
      </c>
      <c r="P442" s="4">
        <f>IF(K442&lt;&gt;"Yes",0,IF(Sales_Tax_Settings!$B$6="Yes",E442/(1+Sales_Tax_Settings!$B$10),E442))</f>
        <v>0</v>
      </c>
      <c r="Q442" s="4">
        <f>IF(K442&lt;&gt;"Yes",0,P442*Sales_Tax_Settings!$B$8)</f>
        <v>0</v>
      </c>
      <c r="R442" s="4">
        <f>IF(K442&lt;&gt;"Yes",0,P442*Sales_Tax_Settings!$B$9)</f>
        <v>0</v>
      </c>
      <c r="S442" s="4">
        <f t="shared" si="48"/>
        <v>0</v>
      </c>
    </row>
    <row r="443" spans="1:19" x14ac:dyDescent="0.3">
      <c r="A443" t="str">
        <f>IF(Expense_Input!A443="","",Expense_Input!A443)</f>
        <v/>
      </c>
      <c r="B443" t="str">
        <f>IF(Expense_Input!B443="","",Expense_Input!B443)</f>
        <v/>
      </c>
      <c r="C443" t="str">
        <f t="shared" si="42"/>
        <v/>
      </c>
      <c r="D443" t="str">
        <f>IF(Expense_Input!C443="","",Expense_Input!C443)</f>
        <v/>
      </c>
      <c r="E443" s="4" t="str">
        <f>IF(Expense_Input!D443="","",Expense_Input!D443)</f>
        <v/>
      </c>
      <c r="F443" t="str">
        <f>IF(Expense_Input!E443="","",Expense_Input!E443)</f>
        <v/>
      </c>
      <c r="G443" t="str">
        <f>IF(Expense_Input!H443="","",Expense_Input!H443)</f>
        <v/>
      </c>
      <c r="H443" t="str">
        <f>IF(Expense_Input!I443="","Auto",Expense_Input!I443)</f>
        <v>Auto</v>
      </c>
      <c r="I443" t="str">
        <f>IF(F443="","",IFERROR(VLOOKUP(F443,Sales_Tax_Settings!$A$15:$B$27,2,FALSE),"Tax Unknown"))</f>
        <v/>
      </c>
      <c r="J443" t="str">
        <f t="shared" si="43"/>
        <v/>
      </c>
      <c r="K443" t="str">
        <f>IF(AND(Sales_Tax_Settings!$B$5="Yes",G443="Personal Expense",J443="Taxable"),"Yes","No")</f>
        <v>No</v>
      </c>
      <c r="L443" s="4">
        <f t="shared" si="44"/>
        <v>0</v>
      </c>
      <c r="M443" s="4">
        <f t="shared" si="45"/>
        <v>0</v>
      </c>
      <c r="N443" s="4">
        <f t="shared" si="46"/>
        <v>0</v>
      </c>
      <c r="O443" s="4">
        <f t="shared" si="47"/>
        <v>0</v>
      </c>
      <c r="P443" s="4">
        <f>IF(K443&lt;&gt;"Yes",0,IF(Sales_Tax_Settings!$B$6="Yes",E443/(1+Sales_Tax_Settings!$B$10),E443))</f>
        <v>0</v>
      </c>
      <c r="Q443" s="4">
        <f>IF(K443&lt;&gt;"Yes",0,P443*Sales_Tax_Settings!$B$8)</f>
        <v>0</v>
      </c>
      <c r="R443" s="4">
        <f>IF(K443&lt;&gt;"Yes",0,P443*Sales_Tax_Settings!$B$9)</f>
        <v>0</v>
      </c>
      <c r="S443" s="4">
        <f t="shared" si="48"/>
        <v>0</v>
      </c>
    </row>
    <row r="444" spans="1:19" x14ac:dyDescent="0.3">
      <c r="A444" t="str">
        <f>IF(Expense_Input!A444="","",Expense_Input!A444)</f>
        <v/>
      </c>
      <c r="B444" t="str">
        <f>IF(Expense_Input!B444="","",Expense_Input!B444)</f>
        <v/>
      </c>
      <c r="C444" t="str">
        <f t="shared" si="42"/>
        <v/>
      </c>
      <c r="D444" t="str">
        <f>IF(Expense_Input!C444="","",Expense_Input!C444)</f>
        <v/>
      </c>
      <c r="E444" s="4" t="str">
        <f>IF(Expense_Input!D444="","",Expense_Input!D444)</f>
        <v/>
      </c>
      <c r="F444" t="str">
        <f>IF(Expense_Input!E444="","",Expense_Input!E444)</f>
        <v/>
      </c>
      <c r="G444" t="str">
        <f>IF(Expense_Input!H444="","",Expense_Input!H444)</f>
        <v/>
      </c>
      <c r="H444" t="str">
        <f>IF(Expense_Input!I444="","Auto",Expense_Input!I444)</f>
        <v>Auto</v>
      </c>
      <c r="I444" t="str">
        <f>IF(F444="","",IFERROR(VLOOKUP(F444,Sales_Tax_Settings!$A$15:$B$27,2,FALSE),"Tax Unknown"))</f>
        <v/>
      </c>
      <c r="J444" t="str">
        <f t="shared" si="43"/>
        <v/>
      </c>
      <c r="K444" t="str">
        <f>IF(AND(Sales_Tax_Settings!$B$5="Yes",G444="Personal Expense",J444="Taxable"),"Yes","No")</f>
        <v>No</v>
      </c>
      <c r="L444" s="4">
        <f t="shared" si="44"/>
        <v>0</v>
      </c>
      <c r="M444" s="4">
        <f t="shared" si="45"/>
        <v>0</v>
      </c>
      <c r="N444" s="4">
        <f t="shared" si="46"/>
        <v>0</v>
      </c>
      <c r="O444" s="4">
        <f t="shared" si="47"/>
        <v>0</v>
      </c>
      <c r="P444" s="4">
        <f>IF(K444&lt;&gt;"Yes",0,IF(Sales_Tax_Settings!$B$6="Yes",E444/(1+Sales_Tax_Settings!$B$10),E444))</f>
        <v>0</v>
      </c>
      <c r="Q444" s="4">
        <f>IF(K444&lt;&gt;"Yes",0,P444*Sales_Tax_Settings!$B$8)</f>
        <v>0</v>
      </c>
      <c r="R444" s="4">
        <f>IF(K444&lt;&gt;"Yes",0,P444*Sales_Tax_Settings!$B$9)</f>
        <v>0</v>
      </c>
      <c r="S444" s="4">
        <f t="shared" si="48"/>
        <v>0</v>
      </c>
    </row>
    <row r="445" spans="1:19" x14ac:dyDescent="0.3">
      <c r="A445" t="str">
        <f>IF(Expense_Input!A445="","",Expense_Input!A445)</f>
        <v/>
      </c>
      <c r="B445" t="str">
        <f>IF(Expense_Input!B445="","",Expense_Input!B445)</f>
        <v/>
      </c>
      <c r="C445" t="str">
        <f t="shared" si="42"/>
        <v/>
      </c>
      <c r="D445" t="str">
        <f>IF(Expense_Input!C445="","",Expense_Input!C445)</f>
        <v/>
      </c>
      <c r="E445" s="4" t="str">
        <f>IF(Expense_Input!D445="","",Expense_Input!D445)</f>
        <v/>
      </c>
      <c r="F445" t="str">
        <f>IF(Expense_Input!E445="","",Expense_Input!E445)</f>
        <v/>
      </c>
      <c r="G445" t="str">
        <f>IF(Expense_Input!H445="","",Expense_Input!H445)</f>
        <v/>
      </c>
      <c r="H445" t="str">
        <f>IF(Expense_Input!I445="","Auto",Expense_Input!I445)</f>
        <v>Auto</v>
      </c>
      <c r="I445" t="str">
        <f>IF(F445="","",IFERROR(VLOOKUP(F445,Sales_Tax_Settings!$A$15:$B$27,2,FALSE),"Tax Unknown"))</f>
        <v/>
      </c>
      <c r="J445" t="str">
        <f t="shared" si="43"/>
        <v/>
      </c>
      <c r="K445" t="str">
        <f>IF(AND(Sales_Tax_Settings!$B$5="Yes",G445="Personal Expense",J445="Taxable"),"Yes","No")</f>
        <v>No</v>
      </c>
      <c r="L445" s="4">
        <f t="shared" si="44"/>
        <v>0</v>
      </c>
      <c r="M445" s="4">
        <f t="shared" si="45"/>
        <v>0</v>
      </c>
      <c r="N445" s="4">
        <f t="shared" si="46"/>
        <v>0</v>
      </c>
      <c r="O445" s="4">
        <f t="shared" si="47"/>
        <v>0</v>
      </c>
      <c r="P445" s="4">
        <f>IF(K445&lt;&gt;"Yes",0,IF(Sales_Tax_Settings!$B$6="Yes",E445/(1+Sales_Tax_Settings!$B$10),E445))</f>
        <v>0</v>
      </c>
      <c r="Q445" s="4">
        <f>IF(K445&lt;&gt;"Yes",0,P445*Sales_Tax_Settings!$B$8)</f>
        <v>0</v>
      </c>
      <c r="R445" s="4">
        <f>IF(K445&lt;&gt;"Yes",0,P445*Sales_Tax_Settings!$B$9)</f>
        <v>0</v>
      </c>
      <c r="S445" s="4">
        <f t="shared" si="48"/>
        <v>0</v>
      </c>
    </row>
    <row r="446" spans="1:19" x14ac:dyDescent="0.3">
      <c r="A446" t="str">
        <f>IF(Expense_Input!A446="","",Expense_Input!A446)</f>
        <v/>
      </c>
      <c r="B446" t="str">
        <f>IF(Expense_Input!B446="","",Expense_Input!B446)</f>
        <v/>
      </c>
      <c r="C446" t="str">
        <f t="shared" si="42"/>
        <v/>
      </c>
      <c r="D446" t="str">
        <f>IF(Expense_Input!C446="","",Expense_Input!C446)</f>
        <v/>
      </c>
      <c r="E446" s="4" t="str">
        <f>IF(Expense_Input!D446="","",Expense_Input!D446)</f>
        <v/>
      </c>
      <c r="F446" t="str">
        <f>IF(Expense_Input!E446="","",Expense_Input!E446)</f>
        <v/>
      </c>
      <c r="G446" t="str">
        <f>IF(Expense_Input!H446="","",Expense_Input!H446)</f>
        <v/>
      </c>
      <c r="H446" t="str">
        <f>IF(Expense_Input!I446="","Auto",Expense_Input!I446)</f>
        <v>Auto</v>
      </c>
      <c r="I446" t="str">
        <f>IF(F446="","",IFERROR(VLOOKUP(F446,Sales_Tax_Settings!$A$15:$B$27,2,FALSE),"Tax Unknown"))</f>
        <v/>
      </c>
      <c r="J446" t="str">
        <f t="shared" si="43"/>
        <v/>
      </c>
      <c r="K446" t="str">
        <f>IF(AND(Sales_Tax_Settings!$B$5="Yes",G446="Personal Expense",J446="Taxable"),"Yes","No")</f>
        <v>No</v>
      </c>
      <c r="L446" s="4">
        <f t="shared" si="44"/>
        <v>0</v>
      </c>
      <c r="M446" s="4">
        <f t="shared" si="45"/>
        <v>0</v>
      </c>
      <c r="N446" s="4">
        <f t="shared" si="46"/>
        <v>0</v>
      </c>
      <c r="O446" s="4">
        <f t="shared" si="47"/>
        <v>0</v>
      </c>
      <c r="P446" s="4">
        <f>IF(K446&lt;&gt;"Yes",0,IF(Sales_Tax_Settings!$B$6="Yes",E446/(1+Sales_Tax_Settings!$B$10),E446))</f>
        <v>0</v>
      </c>
      <c r="Q446" s="4">
        <f>IF(K446&lt;&gt;"Yes",0,P446*Sales_Tax_Settings!$B$8)</f>
        <v>0</v>
      </c>
      <c r="R446" s="4">
        <f>IF(K446&lt;&gt;"Yes",0,P446*Sales_Tax_Settings!$B$9)</f>
        <v>0</v>
      </c>
      <c r="S446" s="4">
        <f t="shared" si="48"/>
        <v>0</v>
      </c>
    </row>
    <row r="447" spans="1:19" x14ac:dyDescent="0.3">
      <c r="A447" t="str">
        <f>IF(Expense_Input!A447="","",Expense_Input!A447)</f>
        <v/>
      </c>
      <c r="B447" t="str">
        <f>IF(Expense_Input!B447="","",Expense_Input!B447)</f>
        <v/>
      </c>
      <c r="C447" t="str">
        <f t="shared" si="42"/>
        <v/>
      </c>
      <c r="D447" t="str">
        <f>IF(Expense_Input!C447="","",Expense_Input!C447)</f>
        <v/>
      </c>
      <c r="E447" s="4" t="str">
        <f>IF(Expense_Input!D447="","",Expense_Input!D447)</f>
        <v/>
      </c>
      <c r="F447" t="str">
        <f>IF(Expense_Input!E447="","",Expense_Input!E447)</f>
        <v/>
      </c>
      <c r="G447" t="str">
        <f>IF(Expense_Input!H447="","",Expense_Input!H447)</f>
        <v/>
      </c>
      <c r="H447" t="str">
        <f>IF(Expense_Input!I447="","Auto",Expense_Input!I447)</f>
        <v>Auto</v>
      </c>
      <c r="I447" t="str">
        <f>IF(F447="","",IFERROR(VLOOKUP(F447,Sales_Tax_Settings!$A$15:$B$27,2,FALSE),"Tax Unknown"))</f>
        <v/>
      </c>
      <c r="J447" t="str">
        <f t="shared" si="43"/>
        <v/>
      </c>
      <c r="K447" t="str">
        <f>IF(AND(Sales_Tax_Settings!$B$5="Yes",G447="Personal Expense",J447="Taxable"),"Yes","No")</f>
        <v>No</v>
      </c>
      <c r="L447" s="4">
        <f t="shared" si="44"/>
        <v>0</v>
      </c>
      <c r="M447" s="4">
        <f t="shared" si="45"/>
        <v>0</v>
      </c>
      <c r="N447" s="4">
        <f t="shared" si="46"/>
        <v>0</v>
      </c>
      <c r="O447" s="4">
        <f t="shared" si="47"/>
        <v>0</v>
      </c>
      <c r="P447" s="4">
        <f>IF(K447&lt;&gt;"Yes",0,IF(Sales_Tax_Settings!$B$6="Yes",E447/(1+Sales_Tax_Settings!$B$10),E447))</f>
        <v>0</v>
      </c>
      <c r="Q447" s="4">
        <f>IF(K447&lt;&gt;"Yes",0,P447*Sales_Tax_Settings!$B$8)</f>
        <v>0</v>
      </c>
      <c r="R447" s="4">
        <f>IF(K447&lt;&gt;"Yes",0,P447*Sales_Tax_Settings!$B$9)</f>
        <v>0</v>
      </c>
      <c r="S447" s="4">
        <f t="shared" si="48"/>
        <v>0</v>
      </c>
    </row>
    <row r="448" spans="1:19" x14ac:dyDescent="0.3">
      <c r="A448" t="str">
        <f>IF(Expense_Input!A448="","",Expense_Input!A448)</f>
        <v/>
      </c>
      <c r="B448" t="str">
        <f>IF(Expense_Input!B448="","",Expense_Input!B448)</f>
        <v/>
      </c>
      <c r="C448" t="str">
        <f t="shared" si="42"/>
        <v/>
      </c>
      <c r="D448" t="str">
        <f>IF(Expense_Input!C448="","",Expense_Input!C448)</f>
        <v/>
      </c>
      <c r="E448" s="4" t="str">
        <f>IF(Expense_Input!D448="","",Expense_Input!D448)</f>
        <v/>
      </c>
      <c r="F448" t="str">
        <f>IF(Expense_Input!E448="","",Expense_Input!E448)</f>
        <v/>
      </c>
      <c r="G448" t="str">
        <f>IF(Expense_Input!H448="","",Expense_Input!H448)</f>
        <v/>
      </c>
      <c r="H448" t="str">
        <f>IF(Expense_Input!I448="","Auto",Expense_Input!I448)</f>
        <v>Auto</v>
      </c>
      <c r="I448" t="str">
        <f>IF(F448="","",IFERROR(VLOOKUP(F448,Sales_Tax_Settings!$A$15:$B$27,2,FALSE),"Tax Unknown"))</f>
        <v/>
      </c>
      <c r="J448" t="str">
        <f t="shared" si="43"/>
        <v/>
      </c>
      <c r="K448" t="str">
        <f>IF(AND(Sales_Tax_Settings!$B$5="Yes",G448="Personal Expense",J448="Taxable"),"Yes","No")</f>
        <v>No</v>
      </c>
      <c r="L448" s="4">
        <f t="shared" si="44"/>
        <v>0</v>
      </c>
      <c r="M448" s="4">
        <f t="shared" si="45"/>
        <v>0</v>
      </c>
      <c r="N448" s="4">
        <f t="shared" si="46"/>
        <v>0</v>
      </c>
      <c r="O448" s="4">
        <f t="shared" si="47"/>
        <v>0</v>
      </c>
      <c r="P448" s="4">
        <f>IF(K448&lt;&gt;"Yes",0,IF(Sales_Tax_Settings!$B$6="Yes",E448/(1+Sales_Tax_Settings!$B$10),E448))</f>
        <v>0</v>
      </c>
      <c r="Q448" s="4">
        <f>IF(K448&lt;&gt;"Yes",0,P448*Sales_Tax_Settings!$B$8)</f>
        <v>0</v>
      </c>
      <c r="R448" s="4">
        <f>IF(K448&lt;&gt;"Yes",0,P448*Sales_Tax_Settings!$B$9)</f>
        <v>0</v>
      </c>
      <c r="S448" s="4">
        <f t="shared" si="48"/>
        <v>0</v>
      </c>
    </row>
    <row r="449" spans="1:19" x14ac:dyDescent="0.3">
      <c r="A449" t="str">
        <f>IF(Expense_Input!A449="","",Expense_Input!A449)</f>
        <v/>
      </c>
      <c r="B449" t="str">
        <f>IF(Expense_Input!B449="","",Expense_Input!B449)</f>
        <v/>
      </c>
      <c r="C449" t="str">
        <f t="shared" si="42"/>
        <v/>
      </c>
      <c r="D449" t="str">
        <f>IF(Expense_Input!C449="","",Expense_Input!C449)</f>
        <v/>
      </c>
      <c r="E449" s="4" t="str">
        <f>IF(Expense_Input!D449="","",Expense_Input!D449)</f>
        <v/>
      </c>
      <c r="F449" t="str">
        <f>IF(Expense_Input!E449="","",Expense_Input!E449)</f>
        <v/>
      </c>
      <c r="G449" t="str">
        <f>IF(Expense_Input!H449="","",Expense_Input!H449)</f>
        <v/>
      </c>
      <c r="H449" t="str">
        <f>IF(Expense_Input!I449="","Auto",Expense_Input!I449)</f>
        <v>Auto</v>
      </c>
      <c r="I449" t="str">
        <f>IF(F449="","",IFERROR(VLOOKUP(F449,Sales_Tax_Settings!$A$15:$B$27,2,FALSE),"Tax Unknown"))</f>
        <v/>
      </c>
      <c r="J449" t="str">
        <f t="shared" si="43"/>
        <v/>
      </c>
      <c r="K449" t="str">
        <f>IF(AND(Sales_Tax_Settings!$B$5="Yes",G449="Personal Expense",J449="Taxable"),"Yes","No")</f>
        <v>No</v>
      </c>
      <c r="L449" s="4">
        <f t="shared" si="44"/>
        <v>0</v>
      </c>
      <c r="M449" s="4">
        <f t="shared" si="45"/>
        <v>0</v>
      </c>
      <c r="N449" s="4">
        <f t="shared" si="46"/>
        <v>0</v>
      </c>
      <c r="O449" s="4">
        <f t="shared" si="47"/>
        <v>0</v>
      </c>
      <c r="P449" s="4">
        <f>IF(K449&lt;&gt;"Yes",0,IF(Sales_Tax_Settings!$B$6="Yes",E449/(1+Sales_Tax_Settings!$B$10),E449))</f>
        <v>0</v>
      </c>
      <c r="Q449" s="4">
        <f>IF(K449&lt;&gt;"Yes",0,P449*Sales_Tax_Settings!$B$8)</f>
        <v>0</v>
      </c>
      <c r="R449" s="4">
        <f>IF(K449&lt;&gt;"Yes",0,P449*Sales_Tax_Settings!$B$9)</f>
        <v>0</v>
      </c>
      <c r="S449" s="4">
        <f t="shared" si="48"/>
        <v>0</v>
      </c>
    </row>
    <row r="450" spans="1:19" x14ac:dyDescent="0.3">
      <c r="A450" t="str">
        <f>IF(Expense_Input!A450="","",Expense_Input!A450)</f>
        <v/>
      </c>
      <c r="B450" t="str">
        <f>IF(Expense_Input!B450="","",Expense_Input!B450)</f>
        <v/>
      </c>
      <c r="C450" t="str">
        <f t="shared" si="42"/>
        <v/>
      </c>
      <c r="D450" t="str">
        <f>IF(Expense_Input!C450="","",Expense_Input!C450)</f>
        <v/>
      </c>
      <c r="E450" s="4" t="str">
        <f>IF(Expense_Input!D450="","",Expense_Input!D450)</f>
        <v/>
      </c>
      <c r="F450" t="str">
        <f>IF(Expense_Input!E450="","",Expense_Input!E450)</f>
        <v/>
      </c>
      <c r="G450" t="str">
        <f>IF(Expense_Input!H450="","",Expense_Input!H450)</f>
        <v/>
      </c>
      <c r="H450" t="str">
        <f>IF(Expense_Input!I450="","Auto",Expense_Input!I450)</f>
        <v>Auto</v>
      </c>
      <c r="I450" t="str">
        <f>IF(F450="","",IFERROR(VLOOKUP(F450,Sales_Tax_Settings!$A$15:$B$27,2,FALSE),"Tax Unknown"))</f>
        <v/>
      </c>
      <c r="J450" t="str">
        <f t="shared" si="43"/>
        <v/>
      </c>
      <c r="K450" t="str">
        <f>IF(AND(Sales_Tax_Settings!$B$5="Yes",G450="Personal Expense",J450="Taxable"),"Yes","No")</f>
        <v>No</v>
      </c>
      <c r="L450" s="4">
        <f t="shared" si="44"/>
        <v>0</v>
      </c>
      <c r="M450" s="4">
        <f t="shared" si="45"/>
        <v>0</v>
      </c>
      <c r="N450" s="4">
        <f t="shared" si="46"/>
        <v>0</v>
      </c>
      <c r="O450" s="4">
        <f t="shared" si="47"/>
        <v>0</v>
      </c>
      <c r="P450" s="4">
        <f>IF(K450&lt;&gt;"Yes",0,IF(Sales_Tax_Settings!$B$6="Yes",E450/(1+Sales_Tax_Settings!$B$10),E450))</f>
        <v>0</v>
      </c>
      <c r="Q450" s="4">
        <f>IF(K450&lt;&gt;"Yes",0,P450*Sales_Tax_Settings!$B$8)</f>
        <v>0</v>
      </c>
      <c r="R450" s="4">
        <f>IF(K450&lt;&gt;"Yes",0,P450*Sales_Tax_Settings!$B$9)</f>
        <v>0</v>
      </c>
      <c r="S450" s="4">
        <f t="shared" si="48"/>
        <v>0</v>
      </c>
    </row>
    <row r="451" spans="1:19" x14ac:dyDescent="0.3">
      <c r="A451" t="str">
        <f>IF(Expense_Input!A451="","",Expense_Input!A451)</f>
        <v/>
      </c>
      <c r="B451" t="str">
        <f>IF(Expense_Input!B451="","",Expense_Input!B451)</f>
        <v/>
      </c>
      <c r="C451" t="str">
        <f t="shared" si="42"/>
        <v/>
      </c>
      <c r="D451" t="str">
        <f>IF(Expense_Input!C451="","",Expense_Input!C451)</f>
        <v/>
      </c>
      <c r="E451" s="4" t="str">
        <f>IF(Expense_Input!D451="","",Expense_Input!D451)</f>
        <v/>
      </c>
      <c r="F451" t="str">
        <f>IF(Expense_Input!E451="","",Expense_Input!E451)</f>
        <v/>
      </c>
      <c r="G451" t="str">
        <f>IF(Expense_Input!H451="","",Expense_Input!H451)</f>
        <v/>
      </c>
      <c r="H451" t="str">
        <f>IF(Expense_Input!I451="","Auto",Expense_Input!I451)</f>
        <v>Auto</v>
      </c>
      <c r="I451" t="str">
        <f>IF(F451="","",IFERROR(VLOOKUP(F451,Sales_Tax_Settings!$A$15:$B$27,2,FALSE),"Tax Unknown"))</f>
        <v/>
      </c>
      <c r="J451" t="str">
        <f t="shared" si="43"/>
        <v/>
      </c>
      <c r="K451" t="str">
        <f>IF(AND(Sales_Tax_Settings!$B$5="Yes",G451="Personal Expense",J451="Taxable"),"Yes","No")</f>
        <v>No</v>
      </c>
      <c r="L451" s="4">
        <f t="shared" si="44"/>
        <v>0</v>
      </c>
      <c r="M451" s="4">
        <f t="shared" si="45"/>
        <v>0</v>
      </c>
      <c r="N451" s="4">
        <f t="shared" si="46"/>
        <v>0</v>
      </c>
      <c r="O451" s="4">
        <f t="shared" si="47"/>
        <v>0</v>
      </c>
      <c r="P451" s="4">
        <f>IF(K451&lt;&gt;"Yes",0,IF(Sales_Tax_Settings!$B$6="Yes",E451/(1+Sales_Tax_Settings!$B$10),E451))</f>
        <v>0</v>
      </c>
      <c r="Q451" s="4">
        <f>IF(K451&lt;&gt;"Yes",0,P451*Sales_Tax_Settings!$B$8)</f>
        <v>0</v>
      </c>
      <c r="R451" s="4">
        <f>IF(K451&lt;&gt;"Yes",0,P451*Sales_Tax_Settings!$B$9)</f>
        <v>0</v>
      </c>
      <c r="S451" s="4">
        <f t="shared" si="48"/>
        <v>0</v>
      </c>
    </row>
    <row r="452" spans="1:19" x14ac:dyDescent="0.3">
      <c r="A452" t="str">
        <f>IF(Expense_Input!A452="","",Expense_Input!A452)</f>
        <v/>
      </c>
      <c r="B452" t="str">
        <f>IF(Expense_Input!B452="","",Expense_Input!B452)</f>
        <v/>
      </c>
      <c r="C452" t="str">
        <f t="shared" ref="C452:C500" si="49">IF(B452="","",TEXT(B452,"yyyy-mm"))</f>
        <v/>
      </c>
      <c r="D452" t="str">
        <f>IF(Expense_Input!C452="","",Expense_Input!C452)</f>
        <v/>
      </c>
      <c r="E452" s="4" t="str">
        <f>IF(Expense_Input!D452="","",Expense_Input!D452)</f>
        <v/>
      </c>
      <c r="F452" t="str">
        <f>IF(Expense_Input!E452="","",Expense_Input!E452)</f>
        <v/>
      </c>
      <c r="G452" t="str">
        <f>IF(Expense_Input!H452="","",Expense_Input!H452)</f>
        <v/>
      </c>
      <c r="H452" t="str">
        <f>IF(Expense_Input!I452="","Auto",Expense_Input!I452)</f>
        <v>Auto</v>
      </c>
      <c r="I452" t="str">
        <f>IF(F452="","",IFERROR(VLOOKUP(F452,Sales_Tax_Settings!$A$15:$B$27,2,FALSE),"Tax Unknown"))</f>
        <v/>
      </c>
      <c r="J452" t="str">
        <f t="shared" ref="J452:J500" si="50">IF(D452="","",IF(H452="Auto",I452,H452))</f>
        <v/>
      </c>
      <c r="K452" t="str">
        <f>IF(AND(Sales_Tax_Settings!$B$5="Yes",G452="Personal Expense",J452="Taxable"),"Yes","No")</f>
        <v>No</v>
      </c>
      <c r="L452" s="4">
        <f t="shared" ref="L452:L500" si="51">IF(K452="Yes",E452,0)</f>
        <v>0</v>
      </c>
      <c r="M452" s="4">
        <f t="shared" ref="M452:M500" si="52">IF(AND(G452="Personal Expense",J452="Zero-rated"),E452,0)</f>
        <v>0</v>
      </c>
      <c r="N452" s="4">
        <f t="shared" ref="N452:N500" si="53">IF(AND(G452="Personal Expense",J452="Exempt"),E452,0)</f>
        <v>0</v>
      </c>
      <c r="O452" s="4">
        <f t="shared" ref="O452:O500" si="54">IF(AND(G452="Personal Expense",OR(J452="Tax Unknown",J452="Not Applicable")),E452,0)</f>
        <v>0</v>
      </c>
      <c r="P452" s="4">
        <f>IF(K452&lt;&gt;"Yes",0,IF(Sales_Tax_Settings!$B$6="Yes",E452/(1+Sales_Tax_Settings!$B$10),E452))</f>
        <v>0</v>
      </c>
      <c r="Q452" s="4">
        <f>IF(K452&lt;&gt;"Yes",0,P452*Sales_Tax_Settings!$B$8)</f>
        <v>0</v>
      </c>
      <c r="R452" s="4">
        <f>IF(K452&lt;&gt;"Yes",0,P452*Sales_Tax_Settings!$B$9)</f>
        <v>0</v>
      </c>
      <c r="S452" s="4">
        <f t="shared" ref="S452:S500" si="55">Q452+R452</f>
        <v>0</v>
      </c>
    </row>
    <row r="453" spans="1:19" x14ac:dyDescent="0.3">
      <c r="A453" t="str">
        <f>IF(Expense_Input!A453="","",Expense_Input!A453)</f>
        <v/>
      </c>
      <c r="B453" t="str">
        <f>IF(Expense_Input!B453="","",Expense_Input!B453)</f>
        <v/>
      </c>
      <c r="C453" t="str">
        <f t="shared" si="49"/>
        <v/>
      </c>
      <c r="D453" t="str">
        <f>IF(Expense_Input!C453="","",Expense_Input!C453)</f>
        <v/>
      </c>
      <c r="E453" s="4" t="str">
        <f>IF(Expense_Input!D453="","",Expense_Input!D453)</f>
        <v/>
      </c>
      <c r="F453" t="str">
        <f>IF(Expense_Input!E453="","",Expense_Input!E453)</f>
        <v/>
      </c>
      <c r="G453" t="str">
        <f>IF(Expense_Input!H453="","",Expense_Input!H453)</f>
        <v/>
      </c>
      <c r="H453" t="str">
        <f>IF(Expense_Input!I453="","Auto",Expense_Input!I453)</f>
        <v>Auto</v>
      </c>
      <c r="I453" t="str">
        <f>IF(F453="","",IFERROR(VLOOKUP(F453,Sales_Tax_Settings!$A$15:$B$27,2,FALSE),"Tax Unknown"))</f>
        <v/>
      </c>
      <c r="J453" t="str">
        <f t="shared" si="50"/>
        <v/>
      </c>
      <c r="K453" t="str">
        <f>IF(AND(Sales_Tax_Settings!$B$5="Yes",G453="Personal Expense",J453="Taxable"),"Yes","No")</f>
        <v>No</v>
      </c>
      <c r="L453" s="4">
        <f t="shared" si="51"/>
        <v>0</v>
      </c>
      <c r="M453" s="4">
        <f t="shared" si="52"/>
        <v>0</v>
      </c>
      <c r="N453" s="4">
        <f t="shared" si="53"/>
        <v>0</v>
      </c>
      <c r="O453" s="4">
        <f t="shared" si="54"/>
        <v>0</v>
      </c>
      <c r="P453" s="4">
        <f>IF(K453&lt;&gt;"Yes",0,IF(Sales_Tax_Settings!$B$6="Yes",E453/(1+Sales_Tax_Settings!$B$10),E453))</f>
        <v>0</v>
      </c>
      <c r="Q453" s="4">
        <f>IF(K453&lt;&gt;"Yes",0,P453*Sales_Tax_Settings!$B$8)</f>
        <v>0</v>
      </c>
      <c r="R453" s="4">
        <f>IF(K453&lt;&gt;"Yes",0,P453*Sales_Tax_Settings!$B$9)</f>
        <v>0</v>
      </c>
      <c r="S453" s="4">
        <f t="shared" si="55"/>
        <v>0</v>
      </c>
    </row>
    <row r="454" spans="1:19" x14ac:dyDescent="0.3">
      <c r="A454" t="str">
        <f>IF(Expense_Input!A454="","",Expense_Input!A454)</f>
        <v/>
      </c>
      <c r="B454" t="str">
        <f>IF(Expense_Input!B454="","",Expense_Input!B454)</f>
        <v/>
      </c>
      <c r="C454" t="str">
        <f t="shared" si="49"/>
        <v/>
      </c>
      <c r="D454" t="str">
        <f>IF(Expense_Input!C454="","",Expense_Input!C454)</f>
        <v/>
      </c>
      <c r="E454" s="4" t="str">
        <f>IF(Expense_Input!D454="","",Expense_Input!D454)</f>
        <v/>
      </c>
      <c r="F454" t="str">
        <f>IF(Expense_Input!E454="","",Expense_Input!E454)</f>
        <v/>
      </c>
      <c r="G454" t="str">
        <f>IF(Expense_Input!H454="","",Expense_Input!H454)</f>
        <v/>
      </c>
      <c r="H454" t="str">
        <f>IF(Expense_Input!I454="","Auto",Expense_Input!I454)</f>
        <v>Auto</v>
      </c>
      <c r="I454" t="str">
        <f>IF(F454="","",IFERROR(VLOOKUP(F454,Sales_Tax_Settings!$A$15:$B$27,2,FALSE),"Tax Unknown"))</f>
        <v/>
      </c>
      <c r="J454" t="str">
        <f t="shared" si="50"/>
        <v/>
      </c>
      <c r="K454" t="str">
        <f>IF(AND(Sales_Tax_Settings!$B$5="Yes",G454="Personal Expense",J454="Taxable"),"Yes","No")</f>
        <v>No</v>
      </c>
      <c r="L454" s="4">
        <f t="shared" si="51"/>
        <v>0</v>
      </c>
      <c r="M454" s="4">
        <f t="shared" si="52"/>
        <v>0</v>
      </c>
      <c r="N454" s="4">
        <f t="shared" si="53"/>
        <v>0</v>
      </c>
      <c r="O454" s="4">
        <f t="shared" si="54"/>
        <v>0</v>
      </c>
      <c r="P454" s="4">
        <f>IF(K454&lt;&gt;"Yes",0,IF(Sales_Tax_Settings!$B$6="Yes",E454/(1+Sales_Tax_Settings!$B$10),E454))</f>
        <v>0</v>
      </c>
      <c r="Q454" s="4">
        <f>IF(K454&lt;&gt;"Yes",0,P454*Sales_Tax_Settings!$B$8)</f>
        <v>0</v>
      </c>
      <c r="R454" s="4">
        <f>IF(K454&lt;&gt;"Yes",0,P454*Sales_Tax_Settings!$B$9)</f>
        <v>0</v>
      </c>
      <c r="S454" s="4">
        <f t="shared" si="55"/>
        <v>0</v>
      </c>
    </row>
    <row r="455" spans="1:19" x14ac:dyDescent="0.3">
      <c r="A455" t="str">
        <f>IF(Expense_Input!A455="","",Expense_Input!A455)</f>
        <v/>
      </c>
      <c r="B455" t="str">
        <f>IF(Expense_Input!B455="","",Expense_Input!B455)</f>
        <v/>
      </c>
      <c r="C455" t="str">
        <f t="shared" si="49"/>
        <v/>
      </c>
      <c r="D455" t="str">
        <f>IF(Expense_Input!C455="","",Expense_Input!C455)</f>
        <v/>
      </c>
      <c r="E455" s="4" t="str">
        <f>IF(Expense_Input!D455="","",Expense_Input!D455)</f>
        <v/>
      </c>
      <c r="F455" t="str">
        <f>IF(Expense_Input!E455="","",Expense_Input!E455)</f>
        <v/>
      </c>
      <c r="G455" t="str">
        <f>IF(Expense_Input!H455="","",Expense_Input!H455)</f>
        <v/>
      </c>
      <c r="H455" t="str">
        <f>IF(Expense_Input!I455="","Auto",Expense_Input!I455)</f>
        <v>Auto</v>
      </c>
      <c r="I455" t="str">
        <f>IF(F455="","",IFERROR(VLOOKUP(F455,Sales_Tax_Settings!$A$15:$B$27,2,FALSE),"Tax Unknown"))</f>
        <v/>
      </c>
      <c r="J455" t="str">
        <f t="shared" si="50"/>
        <v/>
      </c>
      <c r="K455" t="str">
        <f>IF(AND(Sales_Tax_Settings!$B$5="Yes",G455="Personal Expense",J455="Taxable"),"Yes","No")</f>
        <v>No</v>
      </c>
      <c r="L455" s="4">
        <f t="shared" si="51"/>
        <v>0</v>
      </c>
      <c r="M455" s="4">
        <f t="shared" si="52"/>
        <v>0</v>
      </c>
      <c r="N455" s="4">
        <f t="shared" si="53"/>
        <v>0</v>
      </c>
      <c r="O455" s="4">
        <f t="shared" si="54"/>
        <v>0</v>
      </c>
      <c r="P455" s="4">
        <f>IF(K455&lt;&gt;"Yes",0,IF(Sales_Tax_Settings!$B$6="Yes",E455/(1+Sales_Tax_Settings!$B$10),E455))</f>
        <v>0</v>
      </c>
      <c r="Q455" s="4">
        <f>IF(K455&lt;&gt;"Yes",0,P455*Sales_Tax_Settings!$B$8)</f>
        <v>0</v>
      </c>
      <c r="R455" s="4">
        <f>IF(K455&lt;&gt;"Yes",0,P455*Sales_Tax_Settings!$B$9)</f>
        <v>0</v>
      </c>
      <c r="S455" s="4">
        <f t="shared" si="55"/>
        <v>0</v>
      </c>
    </row>
    <row r="456" spans="1:19" x14ac:dyDescent="0.3">
      <c r="A456" t="str">
        <f>IF(Expense_Input!A456="","",Expense_Input!A456)</f>
        <v/>
      </c>
      <c r="B456" t="str">
        <f>IF(Expense_Input!B456="","",Expense_Input!B456)</f>
        <v/>
      </c>
      <c r="C456" t="str">
        <f t="shared" si="49"/>
        <v/>
      </c>
      <c r="D456" t="str">
        <f>IF(Expense_Input!C456="","",Expense_Input!C456)</f>
        <v/>
      </c>
      <c r="E456" s="4" t="str">
        <f>IF(Expense_Input!D456="","",Expense_Input!D456)</f>
        <v/>
      </c>
      <c r="F456" t="str">
        <f>IF(Expense_Input!E456="","",Expense_Input!E456)</f>
        <v/>
      </c>
      <c r="G456" t="str">
        <f>IF(Expense_Input!H456="","",Expense_Input!H456)</f>
        <v/>
      </c>
      <c r="H456" t="str">
        <f>IF(Expense_Input!I456="","Auto",Expense_Input!I456)</f>
        <v>Auto</v>
      </c>
      <c r="I456" t="str">
        <f>IF(F456="","",IFERROR(VLOOKUP(F456,Sales_Tax_Settings!$A$15:$B$27,2,FALSE),"Tax Unknown"))</f>
        <v/>
      </c>
      <c r="J456" t="str">
        <f t="shared" si="50"/>
        <v/>
      </c>
      <c r="K456" t="str">
        <f>IF(AND(Sales_Tax_Settings!$B$5="Yes",G456="Personal Expense",J456="Taxable"),"Yes","No")</f>
        <v>No</v>
      </c>
      <c r="L456" s="4">
        <f t="shared" si="51"/>
        <v>0</v>
      </c>
      <c r="M456" s="4">
        <f t="shared" si="52"/>
        <v>0</v>
      </c>
      <c r="N456" s="4">
        <f t="shared" si="53"/>
        <v>0</v>
      </c>
      <c r="O456" s="4">
        <f t="shared" si="54"/>
        <v>0</v>
      </c>
      <c r="P456" s="4">
        <f>IF(K456&lt;&gt;"Yes",0,IF(Sales_Tax_Settings!$B$6="Yes",E456/(1+Sales_Tax_Settings!$B$10),E456))</f>
        <v>0</v>
      </c>
      <c r="Q456" s="4">
        <f>IF(K456&lt;&gt;"Yes",0,P456*Sales_Tax_Settings!$B$8)</f>
        <v>0</v>
      </c>
      <c r="R456" s="4">
        <f>IF(K456&lt;&gt;"Yes",0,P456*Sales_Tax_Settings!$B$9)</f>
        <v>0</v>
      </c>
      <c r="S456" s="4">
        <f t="shared" si="55"/>
        <v>0</v>
      </c>
    </row>
    <row r="457" spans="1:19" x14ac:dyDescent="0.3">
      <c r="A457" t="str">
        <f>IF(Expense_Input!A457="","",Expense_Input!A457)</f>
        <v/>
      </c>
      <c r="B457" t="str">
        <f>IF(Expense_Input!B457="","",Expense_Input!B457)</f>
        <v/>
      </c>
      <c r="C457" t="str">
        <f t="shared" si="49"/>
        <v/>
      </c>
      <c r="D457" t="str">
        <f>IF(Expense_Input!C457="","",Expense_Input!C457)</f>
        <v/>
      </c>
      <c r="E457" s="4" t="str">
        <f>IF(Expense_Input!D457="","",Expense_Input!D457)</f>
        <v/>
      </c>
      <c r="F457" t="str">
        <f>IF(Expense_Input!E457="","",Expense_Input!E457)</f>
        <v/>
      </c>
      <c r="G457" t="str">
        <f>IF(Expense_Input!H457="","",Expense_Input!H457)</f>
        <v/>
      </c>
      <c r="H457" t="str">
        <f>IF(Expense_Input!I457="","Auto",Expense_Input!I457)</f>
        <v>Auto</v>
      </c>
      <c r="I457" t="str">
        <f>IF(F457="","",IFERROR(VLOOKUP(F457,Sales_Tax_Settings!$A$15:$B$27,2,FALSE),"Tax Unknown"))</f>
        <v/>
      </c>
      <c r="J457" t="str">
        <f t="shared" si="50"/>
        <v/>
      </c>
      <c r="K457" t="str">
        <f>IF(AND(Sales_Tax_Settings!$B$5="Yes",G457="Personal Expense",J457="Taxable"),"Yes","No")</f>
        <v>No</v>
      </c>
      <c r="L457" s="4">
        <f t="shared" si="51"/>
        <v>0</v>
      </c>
      <c r="M457" s="4">
        <f t="shared" si="52"/>
        <v>0</v>
      </c>
      <c r="N457" s="4">
        <f t="shared" si="53"/>
        <v>0</v>
      </c>
      <c r="O457" s="4">
        <f t="shared" si="54"/>
        <v>0</v>
      </c>
      <c r="P457" s="4">
        <f>IF(K457&lt;&gt;"Yes",0,IF(Sales_Tax_Settings!$B$6="Yes",E457/(1+Sales_Tax_Settings!$B$10),E457))</f>
        <v>0</v>
      </c>
      <c r="Q457" s="4">
        <f>IF(K457&lt;&gt;"Yes",0,P457*Sales_Tax_Settings!$B$8)</f>
        <v>0</v>
      </c>
      <c r="R457" s="4">
        <f>IF(K457&lt;&gt;"Yes",0,P457*Sales_Tax_Settings!$B$9)</f>
        <v>0</v>
      </c>
      <c r="S457" s="4">
        <f t="shared" si="55"/>
        <v>0</v>
      </c>
    </row>
    <row r="458" spans="1:19" x14ac:dyDescent="0.3">
      <c r="A458" t="str">
        <f>IF(Expense_Input!A458="","",Expense_Input!A458)</f>
        <v/>
      </c>
      <c r="B458" t="str">
        <f>IF(Expense_Input!B458="","",Expense_Input!B458)</f>
        <v/>
      </c>
      <c r="C458" t="str">
        <f t="shared" si="49"/>
        <v/>
      </c>
      <c r="D458" t="str">
        <f>IF(Expense_Input!C458="","",Expense_Input!C458)</f>
        <v/>
      </c>
      <c r="E458" s="4" t="str">
        <f>IF(Expense_Input!D458="","",Expense_Input!D458)</f>
        <v/>
      </c>
      <c r="F458" t="str">
        <f>IF(Expense_Input!E458="","",Expense_Input!E458)</f>
        <v/>
      </c>
      <c r="G458" t="str">
        <f>IF(Expense_Input!H458="","",Expense_Input!H458)</f>
        <v/>
      </c>
      <c r="H458" t="str">
        <f>IF(Expense_Input!I458="","Auto",Expense_Input!I458)</f>
        <v>Auto</v>
      </c>
      <c r="I458" t="str">
        <f>IF(F458="","",IFERROR(VLOOKUP(F458,Sales_Tax_Settings!$A$15:$B$27,2,FALSE),"Tax Unknown"))</f>
        <v/>
      </c>
      <c r="J458" t="str">
        <f t="shared" si="50"/>
        <v/>
      </c>
      <c r="K458" t="str">
        <f>IF(AND(Sales_Tax_Settings!$B$5="Yes",G458="Personal Expense",J458="Taxable"),"Yes","No")</f>
        <v>No</v>
      </c>
      <c r="L458" s="4">
        <f t="shared" si="51"/>
        <v>0</v>
      </c>
      <c r="M458" s="4">
        <f t="shared" si="52"/>
        <v>0</v>
      </c>
      <c r="N458" s="4">
        <f t="shared" si="53"/>
        <v>0</v>
      </c>
      <c r="O458" s="4">
        <f t="shared" si="54"/>
        <v>0</v>
      </c>
      <c r="P458" s="4">
        <f>IF(K458&lt;&gt;"Yes",0,IF(Sales_Tax_Settings!$B$6="Yes",E458/(1+Sales_Tax_Settings!$B$10),E458))</f>
        <v>0</v>
      </c>
      <c r="Q458" s="4">
        <f>IF(K458&lt;&gt;"Yes",0,P458*Sales_Tax_Settings!$B$8)</f>
        <v>0</v>
      </c>
      <c r="R458" s="4">
        <f>IF(K458&lt;&gt;"Yes",0,P458*Sales_Tax_Settings!$B$9)</f>
        <v>0</v>
      </c>
      <c r="S458" s="4">
        <f t="shared" si="55"/>
        <v>0</v>
      </c>
    </row>
    <row r="459" spans="1:19" x14ac:dyDescent="0.3">
      <c r="A459" t="str">
        <f>IF(Expense_Input!A459="","",Expense_Input!A459)</f>
        <v/>
      </c>
      <c r="B459" t="str">
        <f>IF(Expense_Input!B459="","",Expense_Input!B459)</f>
        <v/>
      </c>
      <c r="C459" t="str">
        <f t="shared" si="49"/>
        <v/>
      </c>
      <c r="D459" t="str">
        <f>IF(Expense_Input!C459="","",Expense_Input!C459)</f>
        <v/>
      </c>
      <c r="E459" s="4" t="str">
        <f>IF(Expense_Input!D459="","",Expense_Input!D459)</f>
        <v/>
      </c>
      <c r="F459" t="str">
        <f>IF(Expense_Input!E459="","",Expense_Input!E459)</f>
        <v/>
      </c>
      <c r="G459" t="str">
        <f>IF(Expense_Input!H459="","",Expense_Input!H459)</f>
        <v/>
      </c>
      <c r="H459" t="str">
        <f>IF(Expense_Input!I459="","Auto",Expense_Input!I459)</f>
        <v>Auto</v>
      </c>
      <c r="I459" t="str">
        <f>IF(F459="","",IFERROR(VLOOKUP(F459,Sales_Tax_Settings!$A$15:$B$27,2,FALSE),"Tax Unknown"))</f>
        <v/>
      </c>
      <c r="J459" t="str">
        <f t="shared" si="50"/>
        <v/>
      </c>
      <c r="K459" t="str">
        <f>IF(AND(Sales_Tax_Settings!$B$5="Yes",G459="Personal Expense",J459="Taxable"),"Yes","No")</f>
        <v>No</v>
      </c>
      <c r="L459" s="4">
        <f t="shared" si="51"/>
        <v>0</v>
      </c>
      <c r="M459" s="4">
        <f t="shared" si="52"/>
        <v>0</v>
      </c>
      <c r="N459" s="4">
        <f t="shared" si="53"/>
        <v>0</v>
      </c>
      <c r="O459" s="4">
        <f t="shared" si="54"/>
        <v>0</v>
      </c>
      <c r="P459" s="4">
        <f>IF(K459&lt;&gt;"Yes",0,IF(Sales_Tax_Settings!$B$6="Yes",E459/(1+Sales_Tax_Settings!$B$10),E459))</f>
        <v>0</v>
      </c>
      <c r="Q459" s="4">
        <f>IF(K459&lt;&gt;"Yes",0,P459*Sales_Tax_Settings!$B$8)</f>
        <v>0</v>
      </c>
      <c r="R459" s="4">
        <f>IF(K459&lt;&gt;"Yes",0,P459*Sales_Tax_Settings!$B$9)</f>
        <v>0</v>
      </c>
      <c r="S459" s="4">
        <f t="shared" si="55"/>
        <v>0</v>
      </c>
    </row>
    <row r="460" spans="1:19" x14ac:dyDescent="0.3">
      <c r="A460" t="str">
        <f>IF(Expense_Input!A460="","",Expense_Input!A460)</f>
        <v/>
      </c>
      <c r="B460" t="str">
        <f>IF(Expense_Input!B460="","",Expense_Input!B460)</f>
        <v/>
      </c>
      <c r="C460" t="str">
        <f t="shared" si="49"/>
        <v/>
      </c>
      <c r="D460" t="str">
        <f>IF(Expense_Input!C460="","",Expense_Input!C460)</f>
        <v/>
      </c>
      <c r="E460" s="4" t="str">
        <f>IF(Expense_Input!D460="","",Expense_Input!D460)</f>
        <v/>
      </c>
      <c r="F460" t="str">
        <f>IF(Expense_Input!E460="","",Expense_Input!E460)</f>
        <v/>
      </c>
      <c r="G460" t="str">
        <f>IF(Expense_Input!H460="","",Expense_Input!H460)</f>
        <v/>
      </c>
      <c r="H460" t="str">
        <f>IF(Expense_Input!I460="","Auto",Expense_Input!I460)</f>
        <v>Auto</v>
      </c>
      <c r="I460" t="str">
        <f>IF(F460="","",IFERROR(VLOOKUP(F460,Sales_Tax_Settings!$A$15:$B$27,2,FALSE),"Tax Unknown"))</f>
        <v/>
      </c>
      <c r="J460" t="str">
        <f t="shared" si="50"/>
        <v/>
      </c>
      <c r="K460" t="str">
        <f>IF(AND(Sales_Tax_Settings!$B$5="Yes",G460="Personal Expense",J460="Taxable"),"Yes","No")</f>
        <v>No</v>
      </c>
      <c r="L460" s="4">
        <f t="shared" si="51"/>
        <v>0</v>
      </c>
      <c r="M460" s="4">
        <f t="shared" si="52"/>
        <v>0</v>
      </c>
      <c r="N460" s="4">
        <f t="shared" si="53"/>
        <v>0</v>
      </c>
      <c r="O460" s="4">
        <f t="shared" si="54"/>
        <v>0</v>
      </c>
      <c r="P460" s="4">
        <f>IF(K460&lt;&gt;"Yes",0,IF(Sales_Tax_Settings!$B$6="Yes",E460/(1+Sales_Tax_Settings!$B$10),E460))</f>
        <v>0</v>
      </c>
      <c r="Q460" s="4">
        <f>IF(K460&lt;&gt;"Yes",0,P460*Sales_Tax_Settings!$B$8)</f>
        <v>0</v>
      </c>
      <c r="R460" s="4">
        <f>IF(K460&lt;&gt;"Yes",0,P460*Sales_Tax_Settings!$B$9)</f>
        <v>0</v>
      </c>
      <c r="S460" s="4">
        <f t="shared" si="55"/>
        <v>0</v>
      </c>
    </row>
    <row r="461" spans="1:19" x14ac:dyDescent="0.3">
      <c r="A461" t="str">
        <f>IF(Expense_Input!A461="","",Expense_Input!A461)</f>
        <v/>
      </c>
      <c r="B461" t="str">
        <f>IF(Expense_Input!B461="","",Expense_Input!B461)</f>
        <v/>
      </c>
      <c r="C461" t="str">
        <f t="shared" si="49"/>
        <v/>
      </c>
      <c r="D461" t="str">
        <f>IF(Expense_Input!C461="","",Expense_Input!C461)</f>
        <v/>
      </c>
      <c r="E461" s="4" t="str">
        <f>IF(Expense_Input!D461="","",Expense_Input!D461)</f>
        <v/>
      </c>
      <c r="F461" t="str">
        <f>IF(Expense_Input!E461="","",Expense_Input!E461)</f>
        <v/>
      </c>
      <c r="G461" t="str">
        <f>IF(Expense_Input!H461="","",Expense_Input!H461)</f>
        <v/>
      </c>
      <c r="H461" t="str">
        <f>IF(Expense_Input!I461="","Auto",Expense_Input!I461)</f>
        <v>Auto</v>
      </c>
      <c r="I461" t="str">
        <f>IF(F461="","",IFERROR(VLOOKUP(F461,Sales_Tax_Settings!$A$15:$B$27,2,FALSE),"Tax Unknown"))</f>
        <v/>
      </c>
      <c r="J461" t="str">
        <f t="shared" si="50"/>
        <v/>
      </c>
      <c r="K461" t="str">
        <f>IF(AND(Sales_Tax_Settings!$B$5="Yes",G461="Personal Expense",J461="Taxable"),"Yes","No")</f>
        <v>No</v>
      </c>
      <c r="L461" s="4">
        <f t="shared" si="51"/>
        <v>0</v>
      </c>
      <c r="M461" s="4">
        <f t="shared" si="52"/>
        <v>0</v>
      </c>
      <c r="N461" s="4">
        <f t="shared" si="53"/>
        <v>0</v>
      </c>
      <c r="O461" s="4">
        <f t="shared" si="54"/>
        <v>0</v>
      </c>
      <c r="P461" s="4">
        <f>IF(K461&lt;&gt;"Yes",0,IF(Sales_Tax_Settings!$B$6="Yes",E461/(1+Sales_Tax_Settings!$B$10),E461))</f>
        <v>0</v>
      </c>
      <c r="Q461" s="4">
        <f>IF(K461&lt;&gt;"Yes",0,P461*Sales_Tax_Settings!$B$8)</f>
        <v>0</v>
      </c>
      <c r="R461" s="4">
        <f>IF(K461&lt;&gt;"Yes",0,P461*Sales_Tax_Settings!$B$9)</f>
        <v>0</v>
      </c>
      <c r="S461" s="4">
        <f t="shared" si="55"/>
        <v>0</v>
      </c>
    </row>
    <row r="462" spans="1:19" x14ac:dyDescent="0.3">
      <c r="A462" t="str">
        <f>IF(Expense_Input!A462="","",Expense_Input!A462)</f>
        <v/>
      </c>
      <c r="B462" t="str">
        <f>IF(Expense_Input!B462="","",Expense_Input!B462)</f>
        <v/>
      </c>
      <c r="C462" t="str">
        <f t="shared" si="49"/>
        <v/>
      </c>
      <c r="D462" t="str">
        <f>IF(Expense_Input!C462="","",Expense_Input!C462)</f>
        <v/>
      </c>
      <c r="E462" s="4" t="str">
        <f>IF(Expense_Input!D462="","",Expense_Input!D462)</f>
        <v/>
      </c>
      <c r="F462" t="str">
        <f>IF(Expense_Input!E462="","",Expense_Input!E462)</f>
        <v/>
      </c>
      <c r="G462" t="str">
        <f>IF(Expense_Input!H462="","",Expense_Input!H462)</f>
        <v/>
      </c>
      <c r="H462" t="str">
        <f>IF(Expense_Input!I462="","Auto",Expense_Input!I462)</f>
        <v>Auto</v>
      </c>
      <c r="I462" t="str">
        <f>IF(F462="","",IFERROR(VLOOKUP(F462,Sales_Tax_Settings!$A$15:$B$27,2,FALSE),"Tax Unknown"))</f>
        <v/>
      </c>
      <c r="J462" t="str">
        <f t="shared" si="50"/>
        <v/>
      </c>
      <c r="K462" t="str">
        <f>IF(AND(Sales_Tax_Settings!$B$5="Yes",G462="Personal Expense",J462="Taxable"),"Yes","No")</f>
        <v>No</v>
      </c>
      <c r="L462" s="4">
        <f t="shared" si="51"/>
        <v>0</v>
      </c>
      <c r="M462" s="4">
        <f t="shared" si="52"/>
        <v>0</v>
      </c>
      <c r="N462" s="4">
        <f t="shared" si="53"/>
        <v>0</v>
      </c>
      <c r="O462" s="4">
        <f t="shared" si="54"/>
        <v>0</v>
      </c>
      <c r="P462" s="4">
        <f>IF(K462&lt;&gt;"Yes",0,IF(Sales_Tax_Settings!$B$6="Yes",E462/(1+Sales_Tax_Settings!$B$10),E462))</f>
        <v>0</v>
      </c>
      <c r="Q462" s="4">
        <f>IF(K462&lt;&gt;"Yes",0,P462*Sales_Tax_Settings!$B$8)</f>
        <v>0</v>
      </c>
      <c r="R462" s="4">
        <f>IF(K462&lt;&gt;"Yes",0,P462*Sales_Tax_Settings!$B$9)</f>
        <v>0</v>
      </c>
      <c r="S462" s="4">
        <f t="shared" si="55"/>
        <v>0</v>
      </c>
    </row>
    <row r="463" spans="1:19" x14ac:dyDescent="0.3">
      <c r="A463" t="str">
        <f>IF(Expense_Input!A463="","",Expense_Input!A463)</f>
        <v/>
      </c>
      <c r="B463" t="str">
        <f>IF(Expense_Input!B463="","",Expense_Input!B463)</f>
        <v/>
      </c>
      <c r="C463" t="str">
        <f t="shared" si="49"/>
        <v/>
      </c>
      <c r="D463" t="str">
        <f>IF(Expense_Input!C463="","",Expense_Input!C463)</f>
        <v/>
      </c>
      <c r="E463" s="4" t="str">
        <f>IF(Expense_Input!D463="","",Expense_Input!D463)</f>
        <v/>
      </c>
      <c r="F463" t="str">
        <f>IF(Expense_Input!E463="","",Expense_Input!E463)</f>
        <v/>
      </c>
      <c r="G463" t="str">
        <f>IF(Expense_Input!H463="","",Expense_Input!H463)</f>
        <v/>
      </c>
      <c r="H463" t="str">
        <f>IF(Expense_Input!I463="","Auto",Expense_Input!I463)</f>
        <v>Auto</v>
      </c>
      <c r="I463" t="str">
        <f>IF(F463="","",IFERROR(VLOOKUP(F463,Sales_Tax_Settings!$A$15:$B$27,2,FALSE),"Tax Unknown"))</f>
        <v/>
      </c>
      <c r="J463" t="str">
        <f t="shared" si="50"/>
        <v/>
      </c>
      <c r="K463" t="str">
        <f>IF(AND(Sales_Tax_Settings!$B$5="Yes",G463="Personal Expense",J463="Taxable"),"Yes","No")</f>
        <v>No</v>
      </c>
      <c r="L463" s="4">
        <f t="shared" si="51"/>
        <v>0</v>
      </c>
      <c r="M463" s="4">
        <f t="shared" si="52"/>
        <v>0</v>
      </c>
      <c r="N463" s="4">
        <f t="shared" si="53"/>
        <v>0</v>
      </c>
      <c r="O463" s="4">
        <f t="shared" si="54"/>
        <v>0</v>
      </c>
      <c r="P463" s="4">
        <f>IF(K463&lt;&gt;"Yes",0,IF(Sales_Tax_Settings!$B$6="Yes",E463/(1+Sales_Tax_Settings!$B$10),E463))</f>
        <v>0</v>
      </c>
      <c r="Q463" s="4">
        <f>IF(K463&lt;&gt;"Yes",0,P463*Sales_Tax_Settings!$B$8)</f>
        <v>0</v>
      </c>
      <c r="R463" s="4">
        <f>IF(K463&lt;&gt;"Yes",0,P463*Sales_Tax_Settings!$B$9)</f>
        <v>0</v>
      </c>
      <c r="S463" s="4">
        <f t="shared" si="55"/>
        <v>0</v>
      </c>
    </row>
    <row r="464" spans="1:19" x14ac:dyDescent="0.3">
      <c r="A464" t="str">
        <f>IF(Expense_Input!A464="","",Expense_Input!A464)</f>
        <v/>
      </c>
      <c r="B464" t="str">
        <f>IF(Expense_Input!B464="","",Expense_Input!B464)</f>
        <v/>
      </c>
      <c r="C464" t="str">
        <f t="shared" si="49"/>
        <v/>
      </c>
      <c r="D464" t="str">
        <f>IF(Expense_Input!C464="","",Expense_Input!C464)</f>
        <v/>
      </c>
      <c r="E464" s="4" t="str">
        <f>IF(Expense_Input!D464="","",Expense_Input!D464)</f>
        <v/>
      </c>
      <c r="F464" t="str">
        <f>IF(Expense_Input!E464="","",Expense_Input!E464)</f>
        <v/>
      </c>
      <c r="G464" t="str">
        <f>IF(Expense_Input!H464="","",Expense_Input!H464)</f>
        <v/>
      </c>
      <c r="H464" t="str">
        <f>IF(Expense_Input!I464="","Auto",Expense_Input!I464)</f>
        <v>Auto</v>
      </c>
      <c r="I464" t="str">
        <f>IF(F464="","",IFERROR(VLOOKUP(F464,Sales_Tax_Settings!$A$15:$B$27,2,FALSE),"Tax Unknown"))</f>
        <v/>
      </c>
      <c r="J464" t="str">
        <f t="shared" si="50"/>
        <v/>
      </c>
      <c r="K464" t="str">
        <f>IF(AND(Sales_Tax_Settings!$B$5="Yes",G464="Personal Expense",J464="Taxable"),"Yes","No")</f>
        <v>No</v>
      </c>
      <c r="L464" s="4">
        <f t="shared" si="51"/>
        <v>0</v>
      </c>
      <c r="M464" s="4">
        <f t="shared" si="52"/>
        <v>0</v>
      </c>
      <c r="N464" s="4">
        <f t="shared" si="53"/>
        <v>0</v>
      </c>
      <c r="O464" s="4">
        <f t="shared" si="54"/>
        <v>0</v>
      </c>
      <c r="P464" s="4">
        <f>IF(K464&lt;&gt;"Yes",0,IF(Sales_Tax_Settings!$B$6="Yes",E464/(1+Sales_Tax_Settings!$B$10),E464))</f>
        <v>0</v>
      </c>
      <c r="Q464" s="4">
        <f>IF(K464&lt;&gt;"Yes",0,P464*Sales_Tax_Settings!$B$8)</f>
        <v>0</v>
      </c>
      <c r="R464" s="4">
        <f>IF(K464&lt;&gt;"Yes",0,P464*Sales_Tax_Settings!$B$9)</f>
        <v>0</v>
      </c>
      <c r="S464" s="4">
        <f t="shared" si="55"/>
        <v>0</v>
      </c>
    </row>
    <row r="465" spans="1:19" x14ac:dyDescent="0.3">
      <c r="A465" t="str">
        <f>IF(Expense_Input!A465="","",Expense_Input!A465)</f>
        <v/>
      </c>
      <c r="B465" t="str">
        <f>IF(Expense_Input!B465="","",Expense_Input!B465)</f>
        <v/>
      </c>
      <c r="C465" t="str">
        <f t="shared" si="49"/>
        <v/>
      </c>
      <c r="D465" t="str">
        <f>IF(Expense_Input!C465="","",Expense_Input!C465)</f>
        <v/>
      </c>
      <c r="E465" s="4" t="str">
        <f>IF(Expense_Input!D465="","",Expense_Input!D465)</f>
        <v/>
      </c>
      <c r="F465" t="str">
        <f>IF(Expense_Input!E465="","",Expense_Input!E465)</f>
        <v/>
      </c>
      <c r="G465" t="str">
        <f>IF(Expense_Input!H465="","",Expense_Input!H465)</f>
        <v/>
      </c>
      <c r="H465" t="str">
        <f>IF(Expense_Input!I465="","Auto",Expense_Input!I465)</f>
        <v>Auto</v>
      </c>
      <c r="I465" t="str">
        <f>IF(F465="","",IFERROR(VLOOKUP(F465,Sales_Tax_Settings!$A$15:$B$27,2,FALSE),"Tax Unknown"))</f>
        <v/>
      </c>
      <c r="J465" t="str">
        <f t="shared" si="50"/>
        <v/>
      </c>
      <c r="K465" t="str">
        <f>IF(AND(Sales_Tax_Settings!$B$5="Yes",G465="Personal Expense",J465="Taxable"),"Yes","No")</f>
        <v>No</v>
      </c>
      <c r="L465" s="4">
        <f t="shared" si="51"/>
        <v>0</v>
      </c>
      <c r="M465" s="4">
        <f t="shared" si="52"/>
        <v>0</v>
      </c>
      <c r="N465" s="4">
        <f t="shared" si="53"/>
        <v>0</v>
      </c>
      <c r="O465" s="4">
        <f t="shared" si="54"/>
        <v>0</v>
      </c>
      <c r="P465" s="4">
        <f>IF(K465&lt;&gt;"Yes",0,IF(Sales_Tax_Settings!$B$6="Yes",E465/(1+Sales_Tax_Settings!$B$10),E465))</f>
        <v>0</v>
      </c>
      <c r="Q465" s="4">
        <f>IF(K465&lt;&gt;"Yes",0,P465*Sales_Tax_Settings!$B$8)</f>
        <v>0</v>
      </c>
      <c r="R465" s="4">
        <f>IF(K465&lt;&gt;"Yes",0,P465*Sales_Tax_Settings!$B$9)</f>
        <v>0</v>
      </c>
      <c r="S465" s="4">
        <f t="shared" si="55"/>
        <v>0</v>
      </c>
    </row>
    <row r="466" spans="1:19" x14ac:dyDescent="0.3">
      <c r="A466" t="str">
        <f>IF(Expense_Input!A466="","",Expense_Input!A466)</f>
        <v/>
      </c>
      <c r="B466" t="str">
        <f>IF(Expense_Input!B466="","",Expense_Input!B466)</f>
        <v/>
      </c>
      <c r="C466" t="str">
        <f t="shared" si="49"/>
        <v/>
      </c>
      <c r="D466" t="str">
        <f>IF(Expense_Input!C466="","",Expense_Input!C466)</f>
        <v/>
      </c>
      <c r="E466" s="4" t="str">
        <f>IF(Expense_Input!D466="","",Expense_Input!D466)</f>
        <v/>
      </c>
      <c r="F466" t="str">
        <f>IF(Expense_Input!E466="","",Expense_Input!E466)</f>
        <v/>
      </c>
      <c r="G466" t="str">
        <f>IF(Expense_Input!H466="","",Expense_Input!H466)</f>
        <v/>
      </c>
      <c r="H466" t="str">
        <f>IF(Expense_Input!I466="","Auto",Expense_Input!I466)</f>
        <v>Auto</v>
      </c>
      <c r="I466" t="str">
        <f>IF(F466="","",IFERROR(VLOOKUP(F466,Sales_Tax_Settings!$A$15:$B$27,2,FALSE),"Tax Unknown"))</f>
        <v/>
      </c>
      <c r="J466" t="str">
        <f t="shared" si="50"/>
        <v/>
      </c>
      <c r="K466" t="str">
        <f>IF(AND(Sales_Tax_Settings!$B$5="Yes",G466="Personal Expense",J466="Taxable"),"Yes","No")</f>
        <v>No</v>
      </c>
      <c r="L466" s="4">
        <f t="shared" si="51"/>
        <v>0</v>
      </c>
      <c r="M466" s="4">
        <f t="shared" si="52"/>
        <v>0</v>
      </c>
      <c r="N466" s="4">
        <f t="shared" si="53"/>
        <v>0</v>
      </c>
      <c r="O466" s="4">
        <f t="shared" si="54"/>
        <v>0</v>
      </c>
      <c r="P466" s="4">
        <f>IF(K466&lt;&gt;"Yes",0,IF(Sales_Tax_Settings!$B$6="Yes",E466/(1+Sales_Tax_Settings!$B$10),E466))</f>
        <v>0</v>
      </c>
      <c r="Q466" s="4">
        <f>IF(K466&lt;&gt;"Yes",0,P466*Sales_Tax_Settings!$B$8)</f>
        <v>0</v>
      </c>
      <c r="R466" s="4">
        <f>IF(K466&lt;&gt;"Yes",0,P466*Sales_Tax_Settings!$B$9)</f>
        <v>0</v>
      </c>
      <c r="S466" s="4">
        <f t="shared" si="55"/>
        <v>0</v>
      </c>
    </row>
    <row r="467" spans="1:19" x14ac:dyDescent="0.3">
      <c r="A467" t="str">
        <f>IF(Expense_Input!A467="","",Expense_Input!A467)</f>
        <v/>
      </c>
      <c r="B467" t="str">
        <f>IF(Expense_Input!B467="","",Expense_Input!B467)</f>
        <v/>
      </c>
      <c r="C467" t="str">
        <f t="shared" si="49"/>
        <v/>
      </c>
      <c r="D467" t="str">
        <f>IF(Expense_Input!C467="","",Expense_Input!C467)</f>
        <v/>
      </c>
      <c r="E467" s="4" t="str">
        <f>IF(Expense_Input!D467="","",Expense_Input!D467)</f>
        <v/>
      </c>
      <c r="F467" t="str">
        <f>IF(Expense_Input!E467="","",Expense_Input!E467)</f>
        <v/>
      </c>
      <c r="G467" t="str">
        <f>IF(Expense_Input!H467="","",Expense_Input!H467)</f>
        <v/>
      </c>
      <c r="H467" t="str">
        <f>IF(Expense_Input!I467="","Auto",Expense_Input!I467)</f>
        <v>Auto</v>
      </c>
      <c r="I467" t="str">
        <f>IF(F467="","",IFERROR(VLOOKUP(F467,Sales_Tax_Settings!$A$15:$B$27,2,FALSE),"Tax Unknown"))</f>
        <v/>
      </c>
      <c r="J467" t="str">
        <f t="shared" si="50"/>
        <v/>
      </c>
      <c r="K467" t="str">
        <f>IF(AND(Sales_Tax_Settings!$B$5="Yes",G467="Personal Expense",J467="Taxable"),"Yes","No")</f>
        <v>No</v>
      </c>
      <c r="L467" s="4">
        <f t="shared" si="51"/>
        <v>0</v>
      </c>
      <c r="M467" s="4">
        <f t="shared" si="52"/>
        <v>0</v>
      </c>
      <c r="N467" s="4">
        <f t="shared" si="53"/>
        <v>0</v>
      </c>
      <c r="O467" s="4">
        <f t="shared" si="54"/>
        <v>0</v>
      </c>
      <c r="P467" s="4">
        <f>IF(K467&lt;&gt;"Yes",0,IF(Sales_Tax_Settings!$B$6="Yes",E467/(1+Sales_Tax_Settings!$B$10),E467))</f>
        <v>0</v>
      </c>
      <c r="Q467" s="4">
        <f>IF(K467&lt;&gt;"Yes",0,P467*Sales_Tax_Settings!$B$8)</f>
        <v>0</v>
      </c>
      <c r="R467" s="4">
        <f>IF(K467&lt;&gt;"Yes",0,P467*Sales_Tax_Settings!$B$9)</f>
        <v>0</v>
      </c>
      <c r="S467" s="4">
        <f t="shared" si="55"/>
        <v>0</v>
      </c>
    </row>
    <row r="468" spans="1:19" x14ac:dyDescent="0.3">
      <c r="A468" t="str">
        <f>IF(Expense_Input!A468="","",Expense_Input!A468)</f>
        <v/>
      </c>
      <c r="B468" t="str">
        <f>IF(Expense_Input!B468="","",Expense_Input!B468)</f>
        <v/>
      </c>
      <c r="C468" t="str">
        <f t="shared" si="49"/>
        <v/>
      </c>
      <c r="D468" t="str">
        <f>IF(Expense_Input!C468="","",Expense_Input!C468)</f>
        <v/>
      </c>
      <c r="E468" s="4" t="str">
        <f>IF(Expense_Input!D468="","",Expense_Input!D468)</f>
        <v/>
      </c>
      <c r="F468" t="str">
        <f>IF(Expense_Input!E468="","",Expense_Input!E468)</f>
        <v/>
      </c>
      <c r="G468" t="str">
        <f>IF(Expense_Input!H468="","",Expense_Input!H468)</f>
        <v/>
      </c>
      <c r="H468" t="str">
        <f>IF(Expense_Input!I468="","Auto",Expense_Input!I468)</f>
        <v>Auto</v>
      </c>
      <c r="I468" t="str">
        <f>IF(F468="","",IFERROR(VLOOKUP(F468,Sales_Tax_Settings!$A$15:$B$27,2,FALSE),"Tax Unknown"))</f>
        <v/>
      </c>
      <c r="J468" t="str">
        <f t="shared" si="50"/>
        <v/>
      </c>
      <c r="K468" t="str">
        <f>IF(AND(Sales_Tax_Settings!$B$5="Yes",G468="Personal Expense",J468="Taxable"),"Yes","No")</f>
        <v>No</v>
      </c>
      <c r="L468" s="4">
        <f t="shared" si="51"/>
        <v>0</v>
      </c>
      <c r="M468" s="4">
        <f t="shared" si="52"/>
        <v>0</v>
      </c>
      <c r="N468" s="4">
        <f t="shared" si="53"/>
        <v>0</v>
      </c>
      <c r="O468" s="4">
        <f t="shared" si="54"/>
        <v>0</v>
      </c>
      <c r="P468" s="4">
        <f>IF(K468&lt;&gt;"Yes",0,IF(Sales_Tax_Settings!$B$6="Yes",E468/(1+Sales_Tax_Settings!$B$10),E468))</f>
        <v>0</v>
      </c>
      <c r="Q468" s="4">
        <f>IF(K468&lt;&gt;"Yes",0,P468*Sales_Tax_Settings!$B$8)</f>
        <v>0</v>
      </c>
      <c r="R468" s="4">
        <f>IF(K468&lt;&gt;"Yes",0,P468*Sales_Tax_Settings!$B$9)</f>
        <v>0</v>
      </c>
      <c r="S468" s="4">
        <f t="shared" si="55"/>
        <v>0</v>
      </c>
    </row>
    <row r="469" spans="1:19" x14ac:dyDescent="0.3">
      <c r="A469" t="str">
        <f>IF(Expense_Input!A469="","",Expense_Input!A469)</f>
        <v/>
      </c>
      <c r="B469" t="str">
        <f>IF(Expense_Input!B469="","",Expense_Input!B469)</f>
        <v/>
      </c>
      <c r="C469" t="str">
        <f t="shared" si="49"/>
        <v/>
      </c>
      <c r="D469" t="str">
        <f>IF(Expense_Input!C469="","",Expense_Input!C469)</f>
        <v/>
      </c>
      <c r="E469" s="4" t="str">
        <f>IF(Expense_Input!D469="","",Expense_Input!D469)</f>
        <v/>
      </c>
      <c r="F469" t="str">
        <f>IF(Expense_Input!E469="","",Expense_Input!E469)</f>
        <v/>
      </c>
      <c r="G469" t="str">
        <f>IF(Expense_Input!H469="","",Expense_Input!H469)</f>
        <v/>
      </c>
      <c r="H469" t="str">
        <f>IF(Expense_Input!I469="","Auto",Expense_Input!I469)</f>
        <v>Auto</v>
      </c>
      <c r="I469" t="str">
        <f>IF(F469="","",IFERROR(VLOOKUP(F469,Sales_Tax_Settings!$A$15:$B$27,2,FALSE),"Tax Unknown"))</f>
        <v/>
      </c>
      <c r="J469" t="str">
        <f t="shared" si="50"/>
        <v/>
      </c>
      <c r="K469" t="str">
        <f>IF(AND(Sales_Tax_Settings!$B$5="Yes",G469="Personal Expense",J469="Taxable"),"Yes","No")</f>
        <v>No</v>
      </c>
      <c r="L469" s="4">
        <f t="shared" si="51"/>
        <v>0</v>
      </c>
      <c r="M469" s="4">
        <f t="shared" si="52"/>
        <v>0</v>
      </c>
      <c r="N469" s="4">
        <f t="shared" si="53"/>
        <v>0</v>
      </c>
      <c r="O469" s="4">
        <f t="shared" si="54"/>
        <v>0</v>
      </c>
      <c r="P469" s="4">
        <f>IF(K469&lt;&gt;"Yes",0,IF(Sales_Tax_Settings!$B$6="Yes",E469/(1+Sales_Tax_Settings!$B$10),E469))</f>
        <v>0</v>
      </c>
      <c r="Q469" s="4">
        <f>IF(K469&lt;&gt;"Yes",0,P469*Sales_Tax_Settings!$B$8)</f>
        <v>0</v>
      </c>
      <c r="R469" s="4">
        <f>IF(K469&lt;&gt;"Yes",0,P469*Sales_Tax_Settings!$B$9)</f>
        <v>0</v>
      </c>
      <c r="S469" s="4">
        <f t="shared" si="55"/>
        <v>0</v>
      </c>
    </row>
    <row r="470" spans="1:19" x14ac:dyDescent="0.3">
      <c r="A470" t="str">
        <f>IF(Expense_Input!A470="","",Expense_Input!A470)</f>
        <v/>
      </c>
      <c r="B470" t="str">
        <f>IF(Expense_Input!B470="","",Expense_Input!B470)</f>
        <v/>
      </c>
      <c r="C470" t="str">
        <f t="shared" si="49"/>
        <v/>
      </c>
      <c r="D470" t="str">
        <f>IF(Expense_Input!C470="","",Expense_Input!C470)</f>
        <v/>
      </c>
      <c r="E470" s="4" t="str">
        <f>IF(Expense_Input!D470="","",Expense_Input!D470)</f>
        <v/>
      </c>
      <c r="F470" t="str">
        <f>IF(Expense_Input!E470="","",Expense_Input!E470)</f>
        <v/>
      </c>
      <c r="G470" t="str">
        <f>IF(Expense_Input!H470="","",Expense_Input!H470)</f>
        <v/>
      </c>
      <c r="H470" t="str">
        <f>IF(Expense_Input!I470="","Auto",Expense_Input!I470)</f>
        <v>Auto</v>
      </c>
      <c r="I470" t="str">
        <f>IF(F470="","",IFERROR(VLOOKUP(F470,Sales_Tax_Settings!$A$15:$B$27,2,FALSE),"Tax Unknown"))</f>
        <v/>
      </c>
      <c r="J470" t="str">
        <f t="shared" si="50"/>
        <v/>
      </c>
      <c r="K470" t="str">
        <f>IF(AND(Sales_Tax_Settings!$B$5="Yes",G470="Personal Expense",J470="Taxable"),"Yes","No")</f>
        <v>No</v>
      </c>
      <c r="L470" s="4">
        <f t="shared" si="51"/>
        <v>0</v>
      </c>
      <c r="M470" s="4">
        <f t="shared" si="52"/>
        <v>0</v>
      </c>
      <c r="N470" s="4">
        <f t="shared" si="53"/>
        <v>0</v>
      </c>
      <c r="O470" s="4">
        <f t="shared" si="54"/>
        <v>0</v>
      </c>
      <c r="P470" s="4">
        <f>IF(K470&lt;&gt;"Yes",0,IF(Sales_Tax_Settings!$B$6="Yes",E470/(1+Sales_Tax_Settings!$B$10),E470))</f>
        <v>0</v>
      </c>
      <c r="Q470" s="4">
        <f>IF(K470&lt;&gt;"Yes",0,P470*Sales_Tax_Settings!$B$8)</f>
        <v>0</v>
      </c>
      <c r="R470" s="4">
        <f>IF(K470&lt;&gt;"Yes",0,P470*Sales_Tax_Settings!$B$9)</f>
        <v>0</v>
      </c>
      <c r="S470" s="4">
        <f t="shared" si="55"/>
        <v>0</v>
      </c>
    </row>
    <row r="471" spans="1:19" x14ac:dyDescent="0.3">
      <c r="A471" t="str">
        <f>IF(Expense_Input!A471="","",Expense_Input!A471)</f>
        <v/>
      </c>
      <c r="B471" t="str">
        <f>IF(Expense_Input!B471="","",Expense_Input!B471)</f>
        <v/>
      </c>
      <c r="C471" t="str">
        <f t="shared" si="49"/>
        <v/>
      </c>
      <c r="D471" t="str">
        <f>IF(Expense_Input!C471="","",Expense_Input!C471)</f>
        <v/>
      </c>
      <c r="E471" s="4" t="str">
        <f>IF(Expense_Input!D471="","",Expense_Input!D471)</f>
        <v/>
      </c>
      <c r="F471" t="str">
        <f>IF(Expense_Input!E471="","",Expense_Input!E471)</f>
        <v/>
      </c>
      <c r="G471" t="str">
        <f>IF(Expense_Input!H471="","",Expense_Input!H471)</f>
        <v/>
      </c>
      <c r="H471" t="str">
        <f>IF(Expense_Input!I471="","Auto",Expense_Input!I471)</f>
        <v>Auto</v>
      </c>
      <c r="I471" t="str">
        <f>IF(F471="","",IFERROR(VLOOKUP(F471,Sales_Tax_Settings!$A$15:$B$27,2,FALSE),"Tax Unknown"))</f>
        <v/>
      </c>
      <c r="J471" t="str">
        <f t="shared" si="50"/>
        <v/>
      </c>
      <c r="K471" t="str">
        <f>IF(AND(Sales_Tax_Settings!$B$5="Yes",G471="Personal Expense",J471="Taxable"),"Yes","No")</f>
        <v>No</v>
      </c>
      <c r="L471" s="4">
        <f t="shared" si="51"/>
        <v>0</v>
      </c>
      <c r="M471" s="4">
        <f t="shared" si="52"/>
        <v>0</v>
      </c>
      <c r="N471" s="4">
        <f t="shared" si="53"/>
        <v>0</v>
      </c>
      <c r="O471" s="4">
        <f t="shared" si="54"/>
        <v>0</v>
      </c>
      <c r="P471" s="4">
        <f>IF(K471&lt;&gt;"Yes",0,IF(Sales_Tax_Settings!$B$6="Yes",E471/(1+Sales_Tax_Settings!$B$10),E471))</f>
        <v>0</v>
      </c>
      <c r="Q471" s="4">
        <f>IF(K471&lt;&gt;"Yes",0,P471*Sales_Tax_Settings!$B$8)</f>
        <v>0</v>
      </c>
      <c r="R471" s="4">
        <f>IF(K471&lt;&gt;"Yes",0,P471*Sales_Tax_Settings!$B$9)</f>
        <v>0</v>
      </c>
      <c r="S471" s="4">
        <f t="shared" si="55"/>
        <v>0</v>
      </c>
    </row>
    <row r="472" spans="1:19" x14ac:dyDescent="0.3">
      <c r="A472" t="str">
        <f>IF(Expense_Input!A472="","",Expense_Input!A472)</f>
        <v/>
      </c>
      <c r="B472" t="str">
        <f>IF(Expense_Input!B472="","",Expense_Input!B472)</f>
        <v/>
      </c>
      <c r="C472" t="str">
        <f t="shared" si="49"/>
        <v/>
      </c>
      <c r="D472" t="str">
        <f>IF(Expense_Input!C472="","",Expense_Input!C472)</f>
        <v/>
      </c>
      <c r="E472" s="4" t="str">
        <f>IF(Expense_Input!D472="","",Expense_Input!D472)</f>
        <v/>
      </c>
      <c r="F472" t="str">
        <f>IF(Expense_Input!E472="","",Expense_Input!E472)</f>
        <v/>
      </c>
      <c r="G472" t="str">
        <f>IF(Expense_Input!H472="","",Expense_Input!H472)</f>
        <v/>
      </c>
      <c r="H472" t="str">
        <f>IF(Expense_Input!I472="","Auto",Expense_Input!I472)</f>
        <v>Auto</v>
      </c>
      <c r="I472" t="str">
        <f>IF(F472="","",IFERROR(VLOOKUP(F472,Sales_Tax_Settings!$A$15:$B$27,2,FALSE),"Tax Unknown"))</f>
        <v/>
      </c>
      <c r="J472" t="str">
        <f t="shared" si="50"/>
        <v/>
      </c>
      <c r="K472" t="str">
        <f>IF(AND(Sales_Tax_Settings!$B$5="Yes",G472="Personal Expense",J472="Taxable"),"Yes","No")</f>
        <v>No</v>
      </c>
      <c r="L472" s="4">
        <f t="shared" si="51"/>
        <v>0</v>
      </c>
      <c r="M472" s="4">
        <f t="shared" si="52"/>
        <v>0</v>
      </c>
      <c r="N472" s="4">
        <f t="shared" si="53"/>
        <v>0</v>
      </c>
      <c r="O472" s="4">
        <f t="shared" si="54"/>
        <v>0</v>
      </c>
      <c r="P472" s="4">
        <f>IF(K472&lt;&gt;"Yes",0,IF(Sales_Tax_Settings!$B$6="Yes",E472/(1+Sales_Tax_Settings!$B$10),E472))</f>
        <v>0</v>
      </c>
      <c r="Q472" s="4">
        <f>IF(K472&lt;&gt;"Yes",0,P472*Sales_Tax_Settings!$B$8)</f>
        <v>0</v>
      </c>
      <c r="R472" s="4">
        <f>IF(K472&lt;&gt;"Yes",0,P472*Sales_Tax_Settings!$B$9)</f>
        <v>0</v>
      </c>
      <c r="S472" s="4">
        <f t="shared" si="55"/>
        <v>0</v>
      </c>
    </row>
    <row r="473" spans="1:19" x14ac:dyDescent="0.3">
      <c r="A473" t="str">
        <f>IF(Expense_Input!A473="","",Expense_Input!A473)</f>
        <v/>
      </c>
      <c r="B473" t="str">
        <f>IF(Expense_Input!B473="","",Expense_Input!B473)</f>
        <v/>
      </c>
      <c r="C473" t="str">
        <f t="shared" si="49"/>
        <v/>
      </c>
      <c r="D473" t="str">
        <f>IF(Expense_Input!C473="","",Expense_Input!C473)</f>
        <v/>
      </c>
      <c r="E473" s="4" t="str">
        <f>IF(Expense_Input!D473="","",Expense_Input!D473)</f>
        <v/>
      </c>
      <c r="F473" t="str">
        <f>IF(Expense_Input!E473="","",Expense_Input!E473)</f>
        <v/>
      </c>
      <c r="G473" t="str">
        <f>IF(Expense_Input!H473="","",Expense_Input!H473)</f>
        <v/>
      </c>
      <c r="H473" t="str">
        <f>IF(Expense_Input!I473="","Auto",Expense_Input!I473)</f>
        <v>Auto</v>
      </c>
      <c r="I473" t="str">
        <f>IF(F473="","",IFERROR(VLOOKUP(F473,Sales_Tax_Settings!$A$15:$B$27,2,FALSE),"Tax Unknown"))</f>
        <v/>
      </c>
      <c r="J473" t="str">
        <f t="shared" si="50"/>
        <v/>
      </c>
      <c r="K473" t="str">
        <f>IF(AND(Sales_Tax_Settings!$B$5="Yes",G473="Personal Expense",J473="Taxable"),"Yes","No")</f>
        <v>No</v>
      </c>
      <c r="L473" s="4">
        <f t="shared" si="51"/>
        <v>0</v>
      </c>
      <c r="M473" s="4">
        <f t="shared" si="52"/>
        <v>0</v>
      </c>
      <c r="N473" s="4">
        <f t="shared" si="53"/>
        <v>0</v>
      </c>
      <c r="O473" s="4">
        <f t="shared" si="54"/>
        <v>0</v>
      </c>
      <c r="P473" s="4">
        <f>IF(K473&lt;&gt;"Yes",0,IF(Sales_Tax_Settings!$B$6="Yes",E473/(1+Sales_Tax_Settings!$B$10),E473))</f>
        <v>0</v>
      </c>
      <c r="Q473" s="4">
        <f>IF(K473&lt;&gt;"Yes",0,P473*Sales_Tax_Settings!$B$8)</f>
        <v>0</v>
      </c>
      <c r="R473" s="4">
        <f>IF(K473&lt;&gt;"Yes",0,P473*Sales_Tax_Settings!$B$9)</f>
        <v>0</v>
      </c>
      <c r="S473" s="4">
        <f t="shared" si="55"/>
        <v>0</v>
      </c>
    </row>
    <row r="474" spans="1:19" x14ac:dyDescent="0.3">
      <c r="A474" t="str">
        <f>IF(Expense_Input!A474="","",Expense_Input!A474)</f>
        <v/>
      </c>
      <c r="B474" t="str">
        <f>IF(Expense_Input!B474="","",Expense_Input!B474)</f>
        <v/>
      </c>
      <c r="C474" t="str">
        <f t="shared" si="49"/>
        <v/>
      </c>
      <c r="D474" t="str">
        <f>IF(Expense_Input!C474="","",Expense_Input!C474)</f>
        <v/>
      </c>
      <c r="E474" s="4" t="str">
        <f>IF(Expense_Input!D474="","",Expense_Input!D474)</f>
        <v/>
      </c>
      <c r="F474" t="str">
        <f>IF(Expense_Input!E474="","",Expense_Input!E474)</f>
        <v/>
      </c>
      <c r="G474" t="str">
        <f>IF(Expense_Input!H474="","",Expense_Input!H474)</f>
        <v/>
      </c>
      <c r="H474" t="str">
        <f>IF(Expense_Input!I474="","Auto",Expense_Input!I474)</f>
        <v>Auto</v>
      </c>
      <c r="I474" t="str">
        <f>IF(F474="","",IFERROR(VLOOKUP(F474,Sales_Tax_Settings!$A$15:$B$27,2,FALSE),"Tax Unknown"))</f>
        <v/>
      </c>
      <c r="J474" t="str">
        <f t="shared" si="50"/>
        <v/>
      </c>
      <c r="K474" t="str">
        <f>IF(AND(Sales_Tax_Settings!$B$5="Yes",G474="Personal Expense",J474="Taxable"),"Yes","No")</f>
        <v>No</v>
      </c>
      <c r="L474" s="4">
        <f t="shared" si="51"/>
        <v>0</v>
      </c>
      <c r="M474" s="4">
        <f t="shared" si="52"/>
        <v>0</v>
      </c>
      <c r="N474" s="4">
        <f t="shared" si="53"/>
        <v>0</v>
      </c>
      <c r="O474" s="4">
        <f t="shared" si="54"/>
        <v>0</v>
      </c>
      <c r="P474" s="4">
        <f>IF(K474&lt;&gt;"Yes",0,IF(Sales_Tax_Settings!$B$6="Yes",E474/(1+Sales_Tax_Settings!$B$10),E474))</f>
        <v>0</v>
      </c>
      <c r="Q474" s="4">
        <f>IF(K474&lt;&gt;"Yes",0,P474*Sales_Tax_Settings!$B$8)</f>
        <v>0</v>
      </c>
      <c r="R474" s="4">
        <f>IF(K474&lt;&gt;"Yes",0,P474*Sales_Tax_Settings!$B$9)</f>
        <v>0</v>
      </c>
      <c r="S474" s="4">
        <f t="shared" si="55"/>
        <v>0</v>
      </c>
    </row>
    <row r="475" spans="1:19" x14ac:dyDescent="0.3">
      <c r="A475" t="str">
        <f>IF(Expense_Input!A475="","",Expense_Input!A475)</f>
        <v/>
      </c>
      <c r="B475" t="str">
        <f>IF(Expense_Input!B475="","",Expense_Input!B475)</f>
        <v/>
      </c>
      <c r="C475" t="str">
        <f t="shared" si="49"/>
        <v/>
      </c>
      <c r="D475" t="str">
        <f>IF(Expense_Input!C475="","",Expense_Input!C475)</f>
        <v/>
      </c>
      <c r="E475" s="4" t="str">
        <f>IF(Expense_Input!D475="","",Expense_Input!D475)</f>
        <v/>
      </c>
      <c r="F475" t="str">
        <f>IF(Expense_Input!E475="","",Expense_Input!E475)</f>
        <v/>
      </c>
      <c r="G475" t="str">
        <f>IF(Expense_Input!H475="","",Expense_Input!H475)</f>
        <v/>
      </c>
      <c r="H475" t="str">
        <f>IF(Expense_Input!I475="","Auto",Expense_Input!I475)</f>
        <v>Auto</v>
      </c>
      <c r="I475" t="str">
        <f>IF(F475="","",IFERROR(VLOOKUP(F475,Sales_Tax_Settings!$A$15:$B$27,2,FALSE),"Tax Unknown"))</f>
        <v/>
      </c>
      <c r="J475" t="str">
        <f t="shared" si="50"/>
        <v/>
      </c>
      <c r="K475" t="str">
        <f>IF(AND(Sales_Tax_Settings!$B$5="Yes",G475="Personal Expense",J475="Taxable"),"Yes","No")</f>
        <v>No</v>
      </c>
      <c r="L475" s="4">
        <f t="shared" si="51"/>
        <v>0</v>
      </c>
      <c r="M475" s="4">
        <f t="shared" si="52"/>
        <v>0</v>
      </c>
      <c r="N475" s="4">
        <f t="shared" si="53"/>
        <v>0</v>
      </c>
      <c r="O475" s="4">
        <f t="shared" si="54"/>
        <v>0</v>
      </c>
      <c r="P475" s="4">
        <f>IF(K475&lt;&gt;"Yes",0,IF(Sales_Tax_Settings!$B$6="Yes",E475/(1+Sales_Tax_Settings!$B$10),E475))</f>
        <v>0</v>
      </c>
      <c r="Q475" s="4">
        <f>IF(K475&lt;&gt;"Yes",0,P475*Sales_Tax_Settings!$B$8)</f>
        <v>0</v>
      </c>
      <c r="R475" s="4">
        <f>IF(K475&lt;&gt;"Yes",0,P475*Sales_Tax_Settings!$B$9)</f>
        <v>0</v>
      </c>
      <c r="S475" s="4">
        <f t="shared" si="55"/>
        <v>0</v>
      </c>
    </row>
    <row r="476" spans="1:19" x14ac:dyDescent="0.3">
      <c r="A476" t="str">
        <f>IF(Expense_Input!A476="","",Expense_Input!A476)</f>
        <v/>
      </c>
      <c r="B476" t="str">
        <f>IF(Expense_Input!B476="","",Expense_Input!B476)</f>
        <v/>
      </c>
      <c r="C476" t="str">
        <f t="shared" si="49"/>
        <v/>
      </c>
      <c r="D476" t="str">
        <f>IF(Expense_Input!C476="","",Expense_Input!C476)</f>
        <v/>
      </c>
      <c r="E476" s="4" t="str">
        <f>IF(Expense_Input!D476="","",Expense_Input!D476)</f>
        <v/>
      </c>
      <c r="F476" t="str">
        <f>IF(Expense_Input!E476="","",Expense_Input!E476)</f>
        <v/>
      </c>
      <c r="G476" t="str">
        <f>IF(Expense_Input!H476="","",Expense_Input!H476)</f>
        <v/>
      </c>
      <c r="H476" t="str">
        <f>IF(Expense_Input!I476="","Auto",Expense_Input!I476)</f>
        <v>Auto</v>
      </c>
      <c r="I476" t="str">
        <f>IF(F476="","",IFERROR(VLOOKUP(F476,Sales_Tax_Settings!$A$15:$B$27,2,FALSE),"Tax Unknown"))</f>
        <v/>
      </c>
      <c r="J476" t="str">
        <f t="shared" si="50"/>
        <v/>
      </c>
      <c r="K476" t="str">
        <f>IF(AND(Sales_Tax_Settings!$B$5="Yes",G476="Personal Expense",J476="Taxable"),"Yes","No")</f>
        <v>No</v>
      </c>
      <c r="L476" s="4">
        <f t="shared" si="51"/>
        <v>0</v>
      </c>
      <c r="M476" s="4">
        <f t="shared" si="52"/>
        <v>0</v>
      </c>
      <c r="N476" s="4">
        <f t="shared" si="53"/>
        <v>0</v>
      </c>
      <c r="O476" s="4">
        <f t="shared" si="54"/>
        <v>0</v>
      </c>
      <c r="P476" s="4">
        <f>IF(K476&lt;&gt;"Yes",0,IF(Sales_Tax_Settings!$B$6="Yes",E476/(1+Sales_Tax_Settings!$B$10),E476))</f>
        <v>0</v>
      </c>
      <c r="Q476" s="4">
        <f>IF(K476&lt;&gt;"Yes",0,P476*Sales_Tax_Settings!$B$8)</f>
        <v>0</v>
      </c>
      <c r="R476" s="4">
        <f>IF(K476&lt;&gt;"Yes",0,P476*Sales_Tax_Settings!$B$9)</f>
        <v>0</v>
      </c>
      <c r="S476" s="4">
        <f t="shared" si="55"/>
        <v>0</v>
      </c>
    </row>
    <row r="477" spans="1:19" x14ac:dyDescent="0.3">
      <c r="A477" t="str">
        <f>IF(Expense_Input!A477="","",Expense_Input!A477)</f>
        <v/>
      </c>
      <c r="B477" t="str">
        <f>IF(Expense_Input!B477="","",Expense_Input!B477)</f>
        <v/>
      </c>
      <c r="C477" t="str">
        <f t="shared" si="49"/>
        <v/>
      </c>
      <c r="D477" t="str">
        <f>IF(Expense_Input!C477="","",Expense_Input!C477)</f>
        <v/>
      </c>
      <c r="E477" s="4" t="str">
        <f>IF(Expense_Input!D477="","",Expense_Input!D477)</f>
        <v/>
      </c>
      <c r="F477" t="str">
        <f>IF(Expense_Input!E477="","",Expense_Input!E477)</f>
        <v/>
      </c>
      <c r="G477" t="str">
        <f>IF(Expense_Input!H477="","",Expense_Input!H477)</f>
        <v/>
      </c>
      <c r="H477" t="str">
        <f>IF(Expense_Input!I477="","Auto",Expense_Input!I477)</f>
        <v>Auto</v>
      </c>
      <c r="I477" t="str">
        <f>IF(F477="","",IFERROR(VLOOKUP(F477,Sales_Tax_Settings!$A$15:$B$27,2,FALSE),"Tax Unknown"))</f>
        <v/>
      </c>
      <c r="J477" t="str">
        <f t="shared" si="50"/>
        <v/>
      </c>
      <c r="K477" t="str">
        <f>IF(AND(Sales_Tax_Settings!$B$5="Yes",G477="Personal Expense",J477="Taxable"),"Yes","No")</f>
        <v>No</v>
      </c>
      <c r="L477" s="4">
        <f t="shared" si="51"/>
        <v>0</v>
      </c>
      <c r="M477" s="4">
        <f t="shared" si="52"/>
        <v>0</v>
      </c>
      <c r="N477" s="4">
        <f t="shared" si="53"/>
        <v>0</v>
      </c>
      <c r="O477" s="4">
        <f t="shared" si="54"/>
        <v>0</v>
      </c>
      <c r="P477" s="4">
        <f>IF(K477&lt;&gt;"Yes",0,IF(Sales_Tax_Settings!$B$6="Yes",E477/(1+Sales_Tax_Settings!$B$10),E477))</f>
        <v>0</v>
      </c>
      <c r="Q477" s="4">
        <f>IF(K477&lt;&gt;"Yes",0,P477*Sales_Tax_Settings!$B$8)</f>
        <v>0</v>
      </c>
      <c r="R477" s="4">
        <f>IF(K477&lt;&gt;"Yes",0,P477*Sales_Tax_Settings!$B$9)</f>
        <v>0</v>
      </c>
      <c r="S477" s="4">
        <f t="shared" si="55"/>
        <v>0</v>
      </c>
    </row>
    <row r="478" spans="1:19" x14ac:dyDescent="0.3">
      <c r="A478" t="str">
        <f>IF(Expense_Input!A478="","",Expense_Input!A478)</f>
        <v/>
      </c>
      <c r="B478" t="str">
        <f>IF(Expense_Input!B478="","",Expense_Input!B478)</f>
        <v/>
      </c>
      <c r="C478" t="str">
        <f t="shared" si="49"/>
        <v/>
      </c>
      <c r="D478" t="str">
        <f>IF(Expense_Input!C478="","",Expense_Input!C478)</f>
        <v/>
      </c>
      <c r="E478" s="4" t="str">
        <f>IF(Expense_Input!D478="","",Expense_Input!D478)</f>
        <v/>
      </c>
      <c r="F478" t="str">
        <f>IF(Expense_Input!E478="","",Expense_Input!E478)</f>
        <v/>
      </c>
      <c r="G478" t="str">
        <f>IF(Expense_Input!H478="","",Expense_Input!H478)</f>
        <v/>
      </c>
      <c r="H478" t="str">
        <f>IF(Expense_Input!I478="","Auto",Expense_Input!I478)</f>
        <v>Auto</v>
      </c>
      <c r="I478" t="str">
        <f>IF(F478="","",IFERROR(VLOOKUP(F478,Sales_Tax_Settings!$A$15:$B$27,2,FALSE),"Tax Unknown"))</f>
        <v/>
      </c>
      <c r="J478" t="str">
        <f t="shared" si="50"/>
        <v/>
      </c>
      <c r="K478" t="str">
        <f>IF(AND(Sales_Tax_Settings!$B$5="Yes",G478="Personal Expense",J478="Taxable"),"Yes","No")</f>
        <v>No</v>
      </c>
      <c r="L478" s="4">
        <f t="shared" si="51"/>
        <v>0</v>
      </c>
      <c r="M478" s="4">
        <f t="shared" si="52"/>
        <v>0</v>
      </c>
      <c r="N478" s="4">
        <f t="shared" si="53"/>
        <v>0</v>
      </c>
      <c r="O478" s="4">
        <f t="shared" si="54"/>
        <v>0</v>
      </c>
      <c r="P478" s="4">
        <f>IF(K478&lt;&gt;"Yes",0,IF(Sales_Tax_Settings!$B$6="Yes",E478/(1+Sales_Tax_Settings!$B$10),E478))</f>
        <v>0</v>
      </c>
      <c r="Q478" s="4">
        <f>IF(K478&lt;&gt;"Yes",0,P478*Sales_Tax_Settings!$B$8)</f>
        <v>0</v>
      </c>
      <c r="R478" s="4">
        <f>IF(K478&lt;&gt;"Yes",0,P478*Sales_Tax_Settings!$B$9)</f>
        <v>0</v>
      </c>
      <c r="S478" s="4">
        <f t="shared" si="55"/>
        <v>0</v>
      </c>
    </row>
    <row r="479" spans="1:19" x14ac:dyDescent="0.3">
      <c r="A479" t="str">
        <f>IF(Expense_Input!A479="","",Expense_Input!A479)</f>
        <v/>
      </c>
      <c r="B479" t="str">
        <f>IF(Expense_Input!B479="","",Expense_Input!B479)</f>
        <v/>
      </c>
      <c r="C479" t="str">
        <f t="shared" si="49"/>
        <v/>
      </c>
      <c r="D479" t="str">
        <f>IF(Expense_Input!C479="","",Expense_Input!C479)</f>
        <v/>
      </c>
      <c r="E479" s="4" t="str">
        <f>IF(Expense_Input!D479="","",Expense_Input!D479)</f>
        <v/>
      </c>
      <c r="F479" t="str">
        <f>IF(Expense_Input!E479="","",Expense_Input!E479)</f>
        <v/>
      </c>
      <c r="G479" t="str">
        <f>IF(Expense_Input!H479="","",Expense_Input!H479)</f>
        <v/>
      </c>
      <c r="H479" t="str">
        <f>IF(Expense_Input!I479="","Auto",Expense_Input!I479)</f>
        <v>Auto</v>
      </c>
      <c r="I479" t="str">
        <f>IF(F479="","",IFERROR(VLOOKUP(F479,Sales_Tax_Settings!$A$15:$B$27,2,FALSE),"Tax Unknown"))</f>
        <v/>
      </c>
      <c r="J479" t="str">
        <f t="shared" si="50"/>
        <v/>
      </c>
      <c r="K479" t="str">
        <f>IF(AND(Sales_Tax_Settings!$B$5="Yes",G479="Personal Expense",J479="Taxable"),"Yes","No")</f>
        <v>No</v>
      </c>
      <c r="L479" s="4">
        <f t="shared" si="51"/>
        <v>0</v>
      </c>
      <c r="M479" s="4">
        <f t="shared" si="52"/>
        <v>0</v>
      </c>
      <c r="N479" s="4">
        <f t="shared" si="53"/>
        <v>0</v>
      </c>
      <c r="O479" s="4">
        <f t="shared" si="54"/>
        <v>0</v>
      </c>
      <c r="P479" s="4">
        <f>IF(K479&lt;&gt;"Yes",0,IF(Sales_Tax_Settings!$B$6="Yes",E479/(1+Sales_Tax_Settings!$B$10),E479))</f>
        <v>0</v>
      </c>
      <c r="Q479" s="4">
        <f>IF(K479&lt;&gt;"Yes",0,P479*Sales_Tax_Settings!$B$8)</f>
        <v>0</v>
      </c>
      <c r="R479" s="4">
        <f>IF(K479&lt;&gt;"Yes",0,P479*Sales_Tax_Settings!$B$9)</f>
        <v>0</v>
      </c>
      <c r="S479" s="4">
        <f t="shared" si="55"/>
        <v>0</v>
      </c>
    </row>
    <row r="480" spans="1:19" x14ac:dyDescent="0.3">
      <c r="A480" t="str">
        <f>IF(Expense_Input!A480="","",Expense_Input!A480)</f>
        <v/>
      </c>
      <c r="B480" t="str">
        <f>IF(Expense_Input!B480="","",Expense_Input!B480)</f>
        <v/>
      </c>
      <c r="C480" t="str">
        <f t="shared" si="49"/>
        <v/>
      </c>
      <c r="D480" t="str">
        <f>IF(Expense_Input!C480="","",Expense_Input!C480)</f>
        <v/>
      </c>
      <c r="E480" s="4" t="str">
        <f>IF(Expense_Input!D480="","",Expense_Input!D480)</f>
        <v/>
      </c>
      <c r="F480" t="str">
        <f>IF(Expense_Input!E480="","",Expense_Input!E480)</f>
        <v/>
      </c>
      <c r="G480" t="str">
        <f>IF(Expense_Input!H480="","",Expense_Input!H480)</f>
        <v/>
      </c>
      <c r="H480" t="str">
        <f>IF(Expense_Input!I480="","Auto",Expense_Input!I480)</f>
        <v>Auto</v>
      </c>
      <c r="I480" t="str">
        <f>IF(F480="","",IFERROR(VLOOKUP(F480,Sales_Tax_Settings!$A$15:$B$27,2,FALSE),"Tax Unknown"))</f>
        <v/>
      </c>
      <c r="J480" t="str">
        <f t="shared" si="50"/>
        <v/>
      </c>
      <c r="K480" t="str">
        <f>IF(AND(Sales_Tax_Settings!$B$5="Yes",G480="Personal Expense",J480="Taxable"),"Yes","No")</f>
        <v>No</v>
      </c>
      <c r="L480" s="4">
        <f t="shared" si="51"/>
        <v>0</v>
      </c>
      <c r="M480" s="4">
        <f t="shared" si="52"/>
        <v>0</v>
      </c>
      <c r="N480" s="4">
        <f t="shared" si="53"/>
        <v>0</v>
      </c>
      <c r="O480" s="4">
        <f t="shared" si="54"/>
        <v>0</v>
      </c>
      <c r="P480" s="4">
        <f>IF(K480&lt;&gt;"Yes",0,IF(Sales_Tax_Settings!$B$6="Yes",E480/(1+Sales_Tax_Settings!$B$10),E480))</f>
        <v>0</v>
      </c>
      <c r="Q480" s="4">
        <f>IF(K480&lt;&gt;"Yes",0,P480*Sales_Tax_Settings!$B$8)</f>
        <v>0</v>
      </c>
      <c r="R480" s="4">
        <f>IF(K480&lt;&gt;"Yes",0,P480*Sales_Tax_Settings!$B$9)</f>
        <v>0</v>
      </c>
      <c r="S480" s="4">
        <f t="shared" si="55"/>
        <v>0</v>
      </c>
    </row>
    <row r="481" spans="1:19" x14ac:dyDescent="0.3">
      <c r="A481" t="str">
        <f>IF(Expense_Input!A481="","",Expense_Input!A481)</f>
        <v/>
      </c>
      <c r="B481" t="str">
        <f>IF(Expense_Input!B481="","",Expense_Input!B481)</f>
        <v/>
      </c>
      <c r="C481" t="str">
        <f t="shared" si="49"/>
        <v/>
      </c>
      <c r="D481" t="str">
        <f>IF(Expense_Input!C481="","",Expense_Input!C481)</f>
        <v/>
      </c>
      <c r="E481" s="4" t="str">
        <f>IF(Expense_Input!D481="","",Expense_Input!D481)</f>
        <v/>
      </c>
      <c r="F481" t="str">
        <f>IF(Expense_Input!E481="","",Expense_Input!E481)</f>
        <v/>
      </c>
      <c r="G481" t="str">
        <f>IF(Expense_Input!H481="","",Expense_Input!H481)</f>
        <v/>
      </c>
      <c r="H481" t="str">
        <f>IF(Expense_Input!I481="","Auto",Expense_Input!I481)</f>
        <v>Auto</v>
      </c>
      <c r="I481" t="str">
        <f>IF(F481="","",IFERROR(VLOOKUP(F481,Sales_Tax_Settings!$A$15:$B$27,2,FALSE),"Tax Unknown"))</f>
        <v/>
      </c>
      <c r="J481" t="str">
        <f t="shared" si="50"/>
        <v/>
      </c>
      <c r="K481" t="str">
        <f>IF(AND(Sales_Tax_Settings!$B$5="Yes",G481="Personal Expense",J481="Taxable"),"Yes","No")</f>
        <v>No</v>
      </c>
      <c r="L481" s="4">
        <f t="shared" si="51"/>
        <v>0</v>
      </c>
      <c r="M481" s="4">
        <f t="shared" si="52"/>
        <v>0</v>
      </c>
      <c r="N481" s="4">
        <f t="shared" si="53"/>
        <v>0</v>
      </c>
      <c r="O481" s="4">
        <f t="shared" si="54"/>
        <v>0</v>
      </c>
      <c r="P481" s="4">
        <f>IF(K481&lt;&gt;"Yes",0,IF(Sales_Tax_Settings!$B$6="Yes",E481/(1+Sales_Tax_Settings!$B$10),E481))</f>
        <v>0</v>
      </c>
      <c r="Q481" s="4">
        <f>IF(K481&lt;&gt;"Yes",0,P481*Sales_Tax_Settings!$B$8)</f>
        <v>0</v>
      </c>
      <c r="R481" s="4">
        <f>IF(K481&lt;&gt;"Yes",0,P481*Sales_Tax_Settings!$B$9)</f>
        <v>0</v>
      </c>
      <c r="S481" s="4">
        <f t="shared" si="55"/>
        <v>0</v>
      </c>
    </row>
    <row r="482" spans="1:19" x14ac:dyDescent="0.3">
      <c r="A482" t="str">
        <f>IF(Expense_Input!A482="","",Expense_Input!A482)</f>
        <v/>
      </c>
      <c r="B482" t="str">
        <f>IF(Expense_Input!B482="","",Expense_Input!B482)</f>
        <v/>
      </c>
      <c r="C482" t="str">
        <f t="shared" si="49"/>
        <v/>
      </c>
      <c r="D482" t="str">
        <f>IF(Expense_Input!C482="","",Expense_Input!C482)</f>
        <v/>
      </c>
      <c r="E482" s="4" t="str">
        <f>IF(Expense_Input!D482="","",Expense_Input!D482)</f>
        <v/>
      </c>
      <c r="F482" t="str">
        <f>IF(Expense_Input!E482="","",Expense_Input!E482)</f>
        <v/>
      </c>
      <c r="G482" t="str">
        <f>IF(Expense_Input!H482="","",Expense_Input!H482)</f>
        <v/>
      </c>
      <c r="H482" t="str">
        <f>IF(Expense_Input!I482="","Auto",Expense_Input!I482)</f>
        <v>Auto</v>
      </c>
      <c r="I482" t="str">
        <f>IF(F482="","",IFERROR(VLOOKUP(F482,Sales_Tax_Settings!$A$15:$B$27,2,FALSE),"Tax Unknown"))</f>
        <v/>
      </c>
      <c r="J482" t="str">
        <f t="shared" si="50"/>
        <v/>
      </c>
      <c r="K482" t="str">
        <f>IF(AND(Sales_Tax_Settings!$B$5="Yes",G482="Personal Expense",J482="Taxable"),"Yes","No")</f>
        <v>No</v>
      </c>
      <c r="L482" s="4">
        <f t="shared" si="51"/>
        <v>0</v>
      </c>
      <c r="M482" s="4">
        <f t="shared" si="52"/>
        <v>0</v>
      </c>
      <c r="N482" s="4">
        <f t="shared" si="53"/>
        <v>0</v>
      </c>
      <c r="O482" s="4">
        <f t="shared" si="54"/>
        <v>0</v>
      </c>
      <c r="P482" s="4">
        <f>IF(K482&lt;&gt;"Yes",0,IF(Sales_Tax_Settings!$B$6="Yes",E482/(1+Sales_Tax_Settings!$B$10),E482))</f>
        <v>0</v>
      </c>
      <c r="Q482" s="4">
        <f>IF(K482&lt;&gt;"Yes",0,P482*Sales_Tax_Settings!$B$8)</f>
        <v>0</v>
      </c>
      <c r="R482" s="4">
        <f>IF(K482&lt;&gt;"Yes",0,P482*Sales_Tax_Settings!$B$9)</f>
        <v>0</v>
      </c>
      <c r="S482" s="4">
        <f t="shared" si="55"/>
        <v>0</v>
      </c>
    </row>
    <row r="483" spans="1:19" x14ac:dyDescent="0.3">
      <c r="A483" t="str">
        <f>IF(Expense_Input!A483="","",Expense_Input!A483)</f>
        <v/>
      </c>
      <c r="B483" t="str">
        <f>IF(Expense_Input!B483="","",Expense_Input!B483)</f>
        <v/>
      </c>
      <c r="C483" t="str">
        <f t="shared" si="49"/>
        <v/>
      </c>
      <c r="D483" t="str">
        <f>IF(Expense_Input!C483="","",Expense_Input!C483)</f>
        <v/>
      </c>
      <c r="E483" s="4" t="str">
        <f>IF(Expense_Input!D483="","",Expense_Input!D483)</f>
        <v/>
      </c>
      <c r="F483" t="str">
        <f>IF(Expense_Input!E483="","",Expense_Input!E483)</f>
        <v/>
      </c>
      <c r="G483" t="str">
        <f>IF(Expense_Input!H483="","",Expense_Input!H483)</f>
        <v/>
      </c>
      <c r="H483" t="str">
        <f>IF(Expense_Input!I483="","Auto",Expense_Input!I483)</f>
        <v>Auto</v>
      </c>
      <c r="I483" t="str">
        <f>IF(F483="","",IFERROR(VLOOKUP(F483,Sales_Tax_Settings!$A$15:$B$27,2,FALSE),"Tax Unknown"))</f>
        <v/>
      </c>
      <c r="J483" t="str">
        <f t="shared" si="50"/>
        <v/>
      </c>
      <c r="K483" t="str">
        <f>IF(AND(Sales_Tax_Settings!$B$5="Yes",G483="Personal Expense",J483="Taxable"),"Yes","No")</f>
        <v>No</v>
      </c>
      <c r="L483" s="4">
        <f t="shared" si="51"/>
        <v>0</v>
      </c>
      <c r="M483" s="4">
        <f t="shared" si="52"/>
        <v>0</v>
      </c>
      <c r="N483" s="4">
        <f t="shared" si="53"/>
        <v>0</v>
      </c>
      <c r="O483" s="4">
        <f t="shared" si="54"/>
        <v>0</v>
      </c>
      <c r="P483" s="4">
        <f>IF(K483&lt;&gt;"Yes",0,IF(Sales_Tax_Settings!$B$6="Yes",E483/(1+Sales_Tax_Settings!$B$10),E483))</f>
        <v>0</v>
      </c>
      <c r="Q483" s="4">
        <f>IF(K483&lt;&gt;"Yes",0,P483*Sales_Tax_Settings!$B$8)</f>
        <v>0</v>
      </c>
      <c r="R483" s="4">
        <f>IF(K483&lt;&gt;"Yes",0,P483*Sales_Tax_Settings!$B$9)</f>
        <v>0</v>
      </c>
      <c r="S483" s="4">
        <f t="shared" si="55"/>
        <v>0</v>
      </c>
    </row>
    <row r="484" spans="1:19" x14ac:dyDescent="0.3">
      <c r="A484" t="str">
        <f>IF(Expense_Input!A484="","",Expense_Input!A484)</f>
        <v/>
      </c>
      <c r="B484" t="str">
        <f>IF(Expense_Input!B484="","",Expense_Input!B484)</f>
        <v/>
      </c>
      <c r="C484" t="str">
        <f t="shared" si="49"/>
        <v/>
      </c>
      <c r="D484" t="str">
        <f>IF(Expense_Input!C484="","",Expense_Input!C484)</f>
        <v/>
      </c>
      <c r="E484" s="4" t="str">
        <f>IF(Expense_Input!D484="","",Expense_Input!D484)</f>
        <v/>
      </c>
      <c r="F484" t="str">
        <f>IF(Expense_Input!E484="","",Expense_Input!E484)</f>
        <v/>
      </c>
      <c r="G484" t="str">
        <f>IF(Expense_Input!H484="","",Expense_Input!H484)</f>
        <v/>
      </c>
      <c r="H484" t="str">
        <f>IF(Expense_Input!I484="","Auto",Expense_Input!I484)</f>
        <v>Auto</v>
      </c>
      <c r="I484" t="str">
        <f>IF(F484="","",IFERROR(VLOOKUP(F484,Sales_Tax_Settings!$A$15:$B$27,2,FALSE),"Tax Unknown"))</f>
        <v/>
      </c>
      <c r="J484" t="str">
        <f t="shared" si="50"/>
        <v/>
      </c>
      <c r="K484" t="str">
        <f>IF(AND(Sales_Tax_Settings!$B$5="Yes",G484="Personal Expense",J484="Taxable"),"Yes","No")</f>
        <v>No</v>
      </c>
      <c r="L484" s="4">
        <f t="shared" si="51"/>
        <v>0</v>
      </c>
      <c r="M484" s="4">
        <f t="shared" si="52"/>
        <v>0</v>
      </c>
      <c r="N484" s="4">
        <f t="shared" si="53"/>
        <v>0</v>
      </c>
      <c r="O484" s="4">
        <f t="shared" si="54"/>
        <v>0</v>
      </c>
      <c r="P484" s="4">
        <f>IF(K484&lt;&gt;"Yes",0,IF(Sales_Tax_Settings!$B$6="Yes",E484/(1+Sales_Tax_Settings!$B$10),E484))</f>
        <v>0</v>
      </c>
      <c r="Q484" s="4">
        <f>IF(K484&lt;&gt;"Yes",0,P484*Sales_Tax_Settings!$B$8)</f>
        <v>0</v>
      </c>
      <c r="R484" s="4">
        <f>IF(K484&lt;&gt;"Yes",0,P484*Sales_Tax_Settings!$B$9)</f>
        <v>0</v>
      </c>
      <c r="S484" s="4">
        <f t="shared" si="55"/>
        <v>0</v>
      </c>
    </row>
    <row r="485" spans="1:19" x14ac:dyDescent="0.3">
      <c r="A485" t="str">
        <f>IF(Expense_Input!A485="","",Expense_Input!A485)</f>
        <v/>
      </c>
      <c r="B485" t="str">
        <f>IF(Expense_Input!B485="","",Expense_Input!B485)</f>
        <v/>
      </c>
      <c r="C485" t="str">
        <f t="shared" si="49"/>
        <v/>
      </c>
      <c r="D485" t="str">
        <f>IF(Expense_Input!C485="","",Expense_Input!C485)</f>
        <v/>
      </c>
      <c r="E485" s="4" t="str">
        <f>IF(Expense_Input!D485="","",Expense_Input!D485)</f>
        <v/>
      </c>
      <c r="F485" t="str">
        <f>IF(Expense_Input!E485="","",Expense_Input!E485)</f>
        <v/>
      </c>
      <c r="G485" t="str">
        <f>IF(Expense_Input!H485="","",Expense_Input!H485)</f>
        <v/>
      </c>
      <c r="H485" t="str">
        <f>IF(Expense_Input!I485="","Auto",Expense_Input!I485)</f>
        <v>Auto</v>
      </c>
      <c r="I485" t="str">
        <f>IF(F485="","",IFERROR(VLOOKUP(F485,Sales_Tax_Settings!$A$15:$B$27,2,FALSE),"Tax Unknown"))</f>
        <v/>
      </c>
      <c r="J485" t="str">
        <f t="shared" si="50"/>
        <v/>
      </c>
      <c r="K485" t="str">
        <f>IF(AND(Sales_Tax_Settings!$B$5="Yes",G485="Personal Expense",J485="Taxable"),"Yes","No")</f>
        <v>No</v>
      </c>
      <c r="L485" s="4">
        <f t="shared" si="51"/>
        <v>0</v>
      </c>
      <c r="M485" s="4">
        <f t="shared" si="52"/>
        <v>0</v>
      </c>
      <c r="N485" s="4">
        <f t="shared" si="53"/>
        <v>0</v>
      </c>
      <c r="O485" s="4">
        <f t="shared" si="54"/>
        <v>0</v>
      </c>
      <c r="P485" s="4">
        <f>IF(K485&lt;&gt;"Yes",0,IF(Sales_Tax_Settings!$B$6="Yes",E485/(1+Sales_Tax_Settings!$B$10),E485))</f>
        <v>0</v>
      </c>
      <c r="Q485" s="4">
        <f>IF(K485&lt;&gt;"Yes",0,P485*Sales_Tax_Settings!$B$8)</f>
        <v>0</v>
      </c>
      <c r="R485" s="4">
        <f>IF(K485&lt;&gt;"Yes",0,P485*Sales_Tax_Settings!$B$9)</f>
        <v>0</v>
      </c>
      <c r="S485" s="4">
        <f t="shared" si="55"/>
        <v>0</v>
      </c>
    </row>
    <row r="486" spans="1:19" x14ac:dyDescent="0.3">
      <c r="A486" t="str">
        <f>IF(Expense_Input!A486="","",Expense_Input!A486)</f>
        <v/>
      </c>
      <c r="B486" t="str">
        <f>IF(Expense_Input!B486="","",Expense_Input!B486)</f>
        <v/>
      </c>
      <c r="C486" t="str">
        <f t="shared" si="49"/>
        <v/>
      </c>
      <c r="D486" t="str">
        <f>IF(Expense_Input!C486="","",Expense_Input!C486)</f>
        <v/>
      </c>
      <c r="E486" s="4" t="str">
        <f>IF(Expense_Input!D486="","",Expense_Input!D486)</f>
        <v/>
      </c>
      <c r="F486" t="str">
        <f>IF(Expense_Input!E486="","",Expense_Input!E486)</f>
        <v/>
      </c>
      <c r="G486" t="str">
        <f>IF(Expense_Input!H486="","",Expense_Input!H486)</f>
        <v/>
      </c>
      <c r="H486" t="str">
        <f>IF(Expense_Input!I486="","Auto",Expense_Input!I486)</f>
        <v>Auto</v>
      </c>
      <c r="I486" t="str">
        <f>IF(F486="","",IFERROR(VLOOKUP(F486,Sales_Tax_Settings!$A$15:$B$27,2,FALSE),"Tax Unknown"))</f>
        <v/>
      </c>
      <c r="J486" t="str">
        <f t="shared" si="50"/>
        <v/>
      </c>
      <c r="K486" t="str">
        <f>IF(AND(Sales_Tax_Settings!$B$5="Yes",G486="Personal Expense",J486="Taxable"),"Yes","No")</f>
        <v>No</v>
      </c>
      <c r="L486" s="4">
        <f t="shared" si="51"/>
        <v>0</v>
      </c>
      <c r="M486" s="4">
        <f t="shared" si="52"/>
        <v>0</v>
      </c>
      <c r="N486" s="4">
        <f t="shared" si="53"/>
        <v>0</v>
      </c>
      <c r="O486" s="4">
        <f t="shared" si="54"/>
        <v>0</v>
      </c>
      <c r="P486" s="4">
        <f>IF(K486&lt;&gt;"Yes",0,IF(Sales_Tax_Settings!$B$6="Yes",E486/(1+Sales_Tax_Settings!$B$10),E486))</f>
        <v>0</v>
      </c>
      <c r="Q486" s="4">
        <f>IF(K486&lt;&gt;"Yes",0,P486*Sales_Tax_Settings!$B$8)</f>
        <v>0</v>
      </c>
      <c r="R486" s="4">
        <f>IF(K486&lt;&gt;"Yes",0,P486*Sales_Tax_Settings!$B$9)</f>
        <v>0</v>
      </c>
      <c r="S486" s="4">
        <f t="shared" si="55"/>
        <v>0</v>
      </c>
    </row>
    <row r="487" spans="1:19" x14ac:dyDescent="0.3">
      <c r="A487" t="str">
        <f>IF(Expense_Input!A487="","",Expense_Input!A487)</f>
        <v/>
      </c>
      <c r="B487" t="str">
        <f>IF(Expense_Input!B487="","",Expense_Input!B487)</f>
        <v/>
      </c>
      <c r="C487" t="str">
        <f t="shared" si="49"/>
        <v/>
      </c>
      <c r="D487" t="str">
        <f>IF(Expense_Input!C487="","",Expense_Input!C487)</f>
        <v/>
      </c>
      <c r="E487" s="4" t="str">
        <f>IF(Expense_Input!D487="","",Expense_Input!D487)</f>
        <v/>
      </c>
      <c r="F487" t="str">
        <f>IF(Expense_Input!E487="","",Expense_Input!E487)</f>
        <v/>
      </c>
      <c r="G487" t="str">
        <f>IF(Expense_Input!H487="","",Expense_Input!H487)</f>
        <v/>
      </c>
      <c r="H487" t="str">
        <f>IF(Expense_Input!I487="","Auto",Expense_Input!I487)</f>
        <v>Auto</v>
      </c>
      <c r="I487" t="str">
        <f>IF(F487="","",IFERROR(VLOOKUP(F487,Sales_Tax_Settings!$A$15:$B$27,2,FALSE),"Tax Unknown"))</f>
        <v/>
      </c>
      <c r="J487" t="str">
        <f t="shared" si="50"/>
        <v/>
      </c>
      <c r="K487" t="str">
        <f>IF(AND(Sales_Tax_Settings!$B$5="Yes",G487="Personal Expense",J487="Taxable"),"Yes","No")</f>
        <v>No</v>
      </c>
      <c r="L487" s="4">
        <f t="shared" si="51"/>
        <v>0</v>
      </c>
      <c r="M487" s="4">
        <f t="shared" si="52"/>
        <v>0</v>
      </c>
      <c r="N487" s="4">
        <f t="shared" si="53"/>
        <v>0</v>
      </c>
      <c r="O487" s="4">
        <f t="shared" si="54"/>
        <v>0</v>
      </c>
      <c r="P487" s="4">
        <f>IF(K487&lt;&gt;"Yes",0,IF(Sales_Tax_Settings!$B$6="Yes",E487/(1+Sales_Tax_Settings!$B$10),E487))</f>
        <v>0</v>
      </c>
      <c r="Q487" s="4">
        <f>IF(K487&lt;&gt;"Yes",0,P487*Sales_Tax_Settings!$B$8)</f>
        <v>0</v>
      </c>
      <c r="R487" s="4">
        <f>IF(K487&lt;&gt;"Yes",0,P487*Sales_Tax_Settings!$B$9)</f>
        <v>0</v>
      </c>
      <c r="S487" s="4">
        <f t="shared" si="55"/>
        <v>0</v>
      </c>
    </row>
    <row r="488" spans="1:19" x14ac:dyDescent="0.3">
      <c r="A488" t="str">
        <f>IF(Expense_Input!A488="","",Expense_Input!A488)</f>
        <v/>
      </c>
      <c r="B488" t="str">
        <f>IF(Expense_Input!B488="","",Expense_Input!B488)</f>
        <v/>
      </c>
      <c r="C488" t="str">
        <f t="shared" si="49"/>
        <v/>
      </c>
      <c r="D488" t="str">
        <f>IF(Expense_Input!C488="","",Expense_Input!C488)</f>
        <v/>
      </c>
      <c r="E488" s="4" t="str">
        <f>IF(Expense_Input!D488="","",Expense_Input!D488)</f>
        <v/>
      </c>
      <c r="F488" t="str">
        <f>IF(Expense_Input!E488="","",Expense_Input!E488)</f>
        <v/>
      </c>
      <c r="G488" t="str">
        <f>IF(Expense_Input!H488="","",Expense_Input!H488)</f>
        <v/>
      </c>
      <c r="H488" t="str">
        <f>IF(Expense_Input!I488="","Auto",Expense_Input!I488)</f>
        <v>Auto</v>
      </c>
      <c r="I488" t="str">
        <f>IF(F488="","",IFERROR(VLOOKUP(F488,Sales_Tax_Settings!$A$15:$B$27,2,FALSE),"Tax Unknown"))</f>
        <v/>
      </c>
      <c r="J488" t="str">
        <f t="shared" si="50"/>
        <v/>
      </c>
      <c r="K488" t="str">
        <f>IF(AND(Sales_Tax_Settings!$B$5="Yes",G488="Personal Expense",J488="Taxable"),"Yes","No")</f>
        <v>No</v>
      </c>
      <c r="L488" s="4">
        <f t="shared" si="51"/>
        <v>0</v>
      </c>
      <c r="M488" s="4">
        <f t="shared" si="52"/>
        <v>0</v>
      </c>
      <c r="N488" s="4">
        <f t="shared" si="53"/>
        <v>0</v>
      </c>
      <c r="O488" s="4">
        <f t="shared" si="54"/>
        <v>0</v>
      </c>
      <c r="P488" s="4">
        <f>IF(K488&lt;&gt;"Yes",0,IF(Sales_Tax_Settings!$B$6="Yes",E488/(1+Sales_Tax_Settings!$B$10),E488))</f>
        <v>0</v>
      </c>
      <c r="Q488" s="4">
        <f>IF(K488&lt;&gt;"Yes",0,P488*Sales_Tax_Settings!$B$8)</f>
        <v>0</v>
      </c>
      <c r="R488" s="4">
        <f>IF(K488&lt;&gt;"Yes",0,P488*Sales_Tax_Settings!$B$9)</f>
        <v>0</v>
      </c>
      <c r="S488" s="4">
        <f t="shared" si="55"/>
        <v>0</v>
      </c>
    </row>
    <row r="489" spans="1:19" x14ac:dyDescent="0.3">
      <c r="A489" t="str">
        <f>IF(Expense_Input!A489="","",Expense_Input!A489)</f>
        <v/>
      </c>
      <c r="B489" t="str">
        <f>IF(Expense_Input!B489="","",Expense_Input!B489)</f>
        <v/>
      </c>
      <c r="C489" t="str">
        <f t="shared" si="49"/>
        <v/>
      </c>
      <c r="D489" t="str">
        <f>IF(Expense_Input!C489="","",Expense_Input!C489)</f>
        <v/>
      </c>
      <c r="E489" s="4" t="str">
        <f>IF(Expense_Input!D489="","",Expense_Input!D489)</f>
        <v/>
      </c>
      <c r="F489" t="str">
        <f>IF(Expense_Input!E489="","",Expense_Input!E489)</f>
        <v/>
      </c>
      <c r="G489" t="str">
        <f>IF(Expense_Input!H489="","",Expense_Input!H489)</f>
        <v/>
      </c>
      <c r="H489" t="str">
        <f>IF(Expense_Input!I489="","Auto",Expense_Input!I489)</f>
        <v>Auto</v>
      </c>
      <c r="I489" t="str">
        <f>IF(F489="","",IFERROR(VLOOKUP(F489,Sales_Tax_Settings!$A$15:$B$27,2,FALSE),"Tax Unknown"))</f>
        <v/>
      </c>
      <c r="J489" t="str">
        <f t="shared" si="50"/>
        <v/>
      </c>
      <c r="K489" t="str">
        <f>IF(AND(Sales_Tax_Settings!$B$5="Yes",G489="Personal Expense",J489="Taxable"),"Yes","No")</f>
        <v>No</v>
      </c>
      <c r="L489" s="4">
        <f t="shared" si="51"/>
        <v>0</v>
      </c>
      <c r="M489" s="4">
        <f t="shared" si="52"/>
        <v>0</v>
      </c>
      <c r="N489" s="4">
        <f t="shared" si="53"/>
        <v>0</v>
      </c>
      <c r="O489" s="4">
        <f t="shared" si="54"/>
        <v>0</v>
      </c>
      <c r="P489" s="4">
        <f>IF(K489&lt;&gt;"Yes",0,IF(Sales_Tax_Settings!$B$6="Yes",E489/(1+Sales_Tax_Settings!$B$10),E489))</f>
        <v>0</v>
      </c>
      <c r="Q489" s="4">
        <f>IF(K489&lt;&gt;"Yes",0,P489*Sales_Tax_Settings!$B$8)</f>
        <v>0</v>
      </c>
      <c r="R489" s="4">
        <f>IF(K489&lt;&gt;"Yes",0,P489*Sales_Tax_Settings!$B$9)</f>
        <v>0</v>
      </c>
      <c r="S489" s="4">
        <f t="shared" si="55"/>
        <v>0</v>
      </c>
    </row>
    <row r="490" spans="1:19" x14ac:dyDescent="0.3">
      <c r="A490" t="str">
        <f>IF(Expense_Input!A490="","",Expense_Input!A490)</f>
        <v/>
      </c>
      <c r="B490" t="str">
        <f>IF(Expense_Input!B490="","",Expense_Input!B490)</f>
        <v/>
      </c>
      <c r="C490" t="str">
        <f t="shared" si="49"/>
        <v/>
      </c>
      <c r="D490" t="str">
        <f>IF(Expense_Input!C490="","",Expense_Input!C490)</f>
        <v/>
      </c>
      <c r="E490" s="4" t="str">
        <f>IF(Expense_Input!D490="","",Expense_Input!D490)</f>
        <v/>
      </c>
      <c r="F490" t="str">
        <f>IF(Expense_Input!E490="","",Expense_Input!E490)</f>
        <v/>
      </c>
      <c r="G490" t="str">
        <f>IF(Expense_Input!H490="","",Expense_Input!H490)</f>
        <v/>
      </c>
      <c r="H490" t="str">
        <f>IF(Expense_Input!I490="","Auto",Expense_Input!I490)</f>
        <v>Auto</v>
      </c>
      <c r="I490" t="str">
        <f>IF(F490="","",IFERROR(VLOOKUP(F490,Sales_Tax_Settings!$A$15:$B$27,2,FALSE),"Tax Unknown"))</f>
        <v/>
      </c>
      <c r="J490" t="str">
        <f t="shared" si="50"/>
        <v/>
      </c>
      <c r="K490" t="str">
        <f>IF(AND(Sales_Tax_Settings!$B$5="Yes",G490="Personal Expense",J490="Taxable"),"Yes","No")</f>
        <v>No</v>
      </c>
      <c r="L490" s="4">
        <f t="shared" si="51"/>
        <v>0</v>
      </c>
      <c r="M490" s="4">
        <f t="shared" si="52"/>
        <v>0</v>
      </c>
      <c r="N490" s="4">
        <f t="shared" si="53"/>
        <v>0</v>
      </c>
      <c r="O490" s="4">
        <f t="shared" si="54"/>
        <v>0</v>
      </c>
      <c r="P490" s="4">
        <f>IF(K490&lt;&gt;"Yes",0,IF(Sales_Tax_Settings!$B$6="Yes",E490/(1+Sales_Tax_Settings!$B$10),E490))</f>
        <v>0</v>
      </c>
      <c r="Q490" s="4">
        <f>IF(K490&lt;&gt;"Yes",0,P490*Sales_Tax_Settings!$B$8)</f>
        <v>0</v>
      </c>
      <c r="R490" s="4">
        <f>IF(K490&lt;&gt;"Yes",0,P490*Sales_Tax_Settings!$B$9)</f>
        <v>0</v>
      </c>
      <c r="S490" s="4">
        <f t="shared" si="55"/>
        <v>0</v>
      </c>
    </row>
    <row r="491" spans="1:19" x14ac:dyDescent="0.3">
      <c r="A491" t="str">
        <f>IF(Expense_Input!A491="","",Expense_Input!A491)</f>
        <v/>
      </c>
      <c r="B491" t="str">
        <f>IF(Expense_Input!B491="","",Expense_Input!B491)</f>
        <v/>
      </c>
      <c r="C491" t="str">
        <f t="shared" si="49"/>
        <v/>
      </c>
      <c r="D491" t="str">
        <f>IF(Expense_Input!C491="","",Expense_Input!C491)</f>
        <v/>
      </c>
      <c r="E491" s="4" t="str">
        <f>IF(Expense_Input!D491="","",Expense_Input!D491)</f>
        <v/>
      </c>
      <c r="F491" t="str">
        <f>IF(Expense_Input!E491="","",Expense_Input!E491)</f>
        <v/>
      </c>
      <c r="G491" t="str">
        <f>IF(Expense_Input!H491="","",Expense_Input!H491)</f>
        <v/>
      </c>
      <c r="H491" t="str">
        <f>IF(Expense_Input!I491="","Auto",Expense_Input!I491)</f>
        <v>Auto</v>
      </c>
      <c r="I491" t="str">
        <f>IF(F491="","",IFERROR(VLOOKUP(F491,Sales_Tax_Settings!$A$15:$B$27,2,FALSE),"Tax Unknown"))</f>
        <v/>
      </c>
      <c r="J491" t="str">
        <f t="shared" si="50"/>
        <v/>
      </c>
      <c r="K491" t="str">
        <f>IF(AND(Sales_Tax_Settings!$B$5="Yes",G491="Personal Expense",J491="Taxable"),"Yes","No")</f>
        <v>No</v>
      </c>
      <c r="L491" s="4">
        <f t="shared" si="51"/>
        <v>0</v>
      </c>
      <c r="M491" s="4">
        <f t="shared" si="52"/>
        <v>0</v>
      </c>
      <c r="N491" s="4">
        <f t="shared" si="53"/>
        <v>0</v>
      </c>
      <c r="O491" s="4">
        <f t="shared" si="54"/>
        <v>0</v>
      </c>
      <c r="P491" s="4">
        <f>IF(K491&lt;&gt;"Yes",0,IF(Sales_Tax_Settings!$B$6="Yes",E491/(1+Sales_Tax_Settings!$B$10),E491))</f>
        <v>0</v>
      </c>
      <c r="Q491" s="4">
        <f>IF(K491&lt;&gt;"Yes",0,P491*Sales_Tax_Settings!$B$8)</f>
        <v>0</v>
      </c>
      <c r="R491" s="4">
        <f>IF(K491&lt;&gt;"Yes",0,P491*Sales_Tax_Settings!$B$9)</f>
        <v>0</v>
      </c>
      <c r="S491" s="4">
        <f t="shared" si="55"/>
        <v>0</v>
      </c>
    </row>
    <row r="492" spans="1:19" x14ac:dyDescent="0.3">
      <c r="A492" t="str">
        <f>IF(Expense_Input!A492="","",Expense_Input!A492)</f>
        <v/>
      </c>
      <c r="B492" t="str">
        <f>IF(Expense_Input!B492="","",Expense_Input!B492)</f>
        <v/>
      </c>
      <c r="C492" t="str">
        <f t="shared" si="49"/>
        <v/>
      </c>
      <c r="D492" t="str">
        <f>IF(Expense_Input!C492="","",Expense_Input!C492)</f>
        <v/>
      </c>
      <c r="E492" s="4" t="str">
        <f>IF(Expense_Input!D492="","",Expense_Input!D492)</f>
        <v/>
      </c>
      <c r="F492" t="str">
        <f>IF(Expense_Input!E492="","",Expense_Input!E492)</f>
        <v/>
      </c>
      <c r="G492" t="str">
        <f>IF(Expense_Input!H492="","",Expense_Input!H492)</f>
        <v/>
      </c>
      <c r="H492" t="str">
        <f>IF(Expense_Input!I492="","Auto",Expense_Input!I492)</f>
        <v>Auto</v>
      </c>
      <c r="I492" t="str">
        <f>IF(F492="","",IFERROR(VLOOKUP(F492,Sales_Tax_Settings!$A$15:$B$27,2,FALSE),"Tax Unknown"))</f>
        <v/>
      </c>
      <c r="J492" t="str">
        <f t="shared" si="50"/>
        <v/>
      </c>
      <c r="K492" t="str">
        <f>IF(AND(Sales_Tax_Settings!$B$5="Yes",G492="Personal Expense",J492="Taxable"),"Yes","No")</f>
        <v>No</v>
      </c>
      <c r="L492" s="4">
        <f t="shared" si="51"/>
        <v>0</v>
      </c>
      <c r="M492" s="4">
        <f t="shared" si="52"/>
        <v>0</v>
      </c>
      <c r="N492" s="4">
        <f t="shared" si="53"/>
        <v>0</v>
      </c>
      <c r="O492" s="4">
        <f t="shared" si="54"/>
        <v>0</v>
      </c>
      <c r="P492" s="4">
        <f>IF(K492&lt;&gt;"Yes",0,IF(Sales_Tax_Settings!$B$6="Yes",E492/(1+Sales_Tax_Settings!$B$10),E492))</f>
        <v>0</v>
      </c>
      <c r="Q492" s="4">
        <f>IF(K492&lt;&gt;"Yes",0,P492*Sales_Tax_Settings!$B$8)</f>
        <v>0</v>
      </c>
      <c r="R492" s="4">
        <f>IF(K492&lt;&gt;"Yes",0,P492*Sales_Tax_Settings!$B$9)</f>
        <v>0</v>
      </c>
      <c r="S492" s="4">
        <f t="shared" si="55"/>
        <v>0</v>
      </c>
    </row>
    <row r="493" spans="1:19" x14ac:dyDescent="0.3">
      <c r="A493" t="str">
        <f>IF(Expense_Input!A493="","",Expense_Input!A493)</f>
        <v/>
      </c>
      <c r="B493" t="str">
        <f>IF(Expense_Input!B493="","",Expense_Input!B493)</f>
        <v/>
      </c>
      <c r="C493" t="str">
        <f t="shared" si="49"/>
        <v/>
      </c>
      <c r="D493" t="str">
        <f>IF(Expense_Input!C493="","",Expense_Input!C493)</f>
        <v/>
      </c>
      <c r="E493" s="4" t="str">
        <f>IF(Expense_Input!D493="","",Expense_Input!D493)</f>
        <v/>
      </c>
      <c r="F493" t="str">
        <f>IF(Expense_Input!E493="","",Expense_Input!E493)</f>
        <v/>
      </c>
      <c r="G493" t="str">
        <f>IF(Expense_Input!H493="","",Expense_Input!H493)</f>
        <v/>
      </c>
      <c r="H493" t="str">
        <f>IF(Expense_Input!I493="","Auto",Expense_Input!I493)</f>
        <v>Auto</v>
      </c>
      <c r="I493" t="str">
        <f>IF(F493="","",IFERROR(VLOOKUP(F493,Sales_Tax_Settings!$A$15:$B$27,2,FALSE),"Tax Unknown"))</f>
        <v/>
      </c>
      <c r="J493" t="str">
        <f t="shared" si="50"/>
        <v/>
      </c>
      <c r="K493" t="str">
        <f>IF(AND(Sales_Tax_Settings!$B$5="Yes",G493="Personal Expense",J493="Taxable"),"Yes","No")</f>
        <v>No</v>
      </c>
      <c r="L493" s="4">
        <f t="shared" si="51"/>
        <v>0</v>
      </c>
      <c r="M493" s="4">
        <f t="shared" si="52"/>
        <v>0</v>
      </c>
      <c r="N493" s="4">
        <f t="shared" si="53"/>
        <v>0</v>
      </c>
      <c r="O493" s="4">
        <f t="shared" si="54"/>
        <v>0</v>
      </c>
      <c r="P493" s="4">
        <f>IF(K493&lt;&gt;"Yes",0,IF(Sales_Tax_Settings!$B$6="Yes",E493/(1+Sales_Tax_Settings!$B$10),E493))</f>
        <v>0</v>
      </c>
      <c r="Q493" s="4">
        <f>IF(K493&lt;&gt;"Yes",0,P493*Sales_Tax_Settings!$B$8)</f>
        <v>0</v>
      </c>
      <c r="R493" s="4">
        <f>IF(K493&lt;&gt;"Yes",0,P493*Sales_Tax_Settings!$B$9)</f>
        <v>0</v>
      </c>
      <c r="S493" s="4">
        <f t="shared" si="55"/>
        <v>0</v>
      </c>
    </row>
    <row r="494" spans="1:19" x14ac:dyDescent="0.3">
      <c r="A494" t="str">
        <f>IF(Expense_Input!A494="","",Expense_Input!A494)</f>
        <v/>
      </c>
      <c r="B494" t="str">
        <f>IF(Expense_Input!B494="","",Expense_Input!B494)</f>
        <v/>
      </c>
      <c r="C494" t="str">
        <f t="shared" si="49"/>
        <v/>
      </c>
      <c r="D494" t="str">
        <f>IF(Expense_Input!C494="","",Expense_Input!C494)</f>
        <v/>
      </c>
      <c r="E494" s="4" t="str">
        <f>IF(Expense_Input!D494="","",Expense_Input!D494)</f>
        <v/>
      </c>
      <c r="F494" t="str">
        <f>IF(Expense_Input!E494="","",Expense_Input!E494)</f>
        <v/>
      </c>
      <c r="G494" t="str">
        <f>IF(Expense_Input!H494="","",Expense_Input!H494)</f>
        <v/>
      </c>
      <c r="H494" t="str">
        <f>IF(Expense_Input!I494="","Auto",Expense_Input!I494)</f>
        <v>Auto</v>
      </c>
      <c r="I494" t="str">
        <f>IF(F494="","",IFERROR(VLOOKUP(F494,Sales_Tax_Settings!$A$15:$B$27,2,FALSE),"Tax Unknown"))</f>
        <v/>
      </c>
      <c r="J494" t="str">
        <f t="shared" si="50"/>
        <v/>
      </c>
      <c r="K494" t="str">
        <f>IF(AND(Sales_Tax_Settings!$B$5="Yes",G494="Personal Expense",J494="Taxable"),"Yes","No")</f>
        <v>No</v>
      </c>
      <c r="L494" s="4">
        <f t="shared" si="51"/>
        <v>0</v>
      </c>
      <c r="M494" s="4">
        <f t="shared" si="52"/>
        <v>0</v>
      </c>
      <c r="N494" s="4">
        <f t="shared" si="53"/>
        <v>0</v>
      </c>
      <c r="O494" s="4">
        <f t="shared" si="54"/>
        <v>0</v>
      </c>
      <c r="P494" s="4">
        <f>IF(K494&lt;&gt;"Yes",0,IF(Sales_Tax_Settings!$B$6="Yes",E494/(1+Sales_Tax_Settings!$B$10),E494))</f>
        <v>0</v>
      </c>
      <c r="Q494" s="4">
        <f>IF(K494&lt;&gt;"Yes",0,P494*Sales_Tax_Settings!$B$8)</f>
        <v>0</v>
      </c>
      <c r="R494" s="4">
        <f>IF(K494&lt;&gt;"Yes",0,P494*Sales_Tax_Settings!$B$9)</f>
        <v>0</v>
      </c>
      <c r="S494" s="4">
        <f t="shared" si="55"/>
        <v>0</v>
      </c>
    </row>
    <row r="495" spans="1:19" x14ac:dyDescent="0.3">
      <c r="A495" t="str">
        <f>IF(Expense_Input!A495="","",Expense_Input!A495)</f>
        <v/>
      </c>
      <c r="B495" t="str">
        <f>IF(Expense_Input!B495="","",Expense_Input!B495)</f>
        <v/>
      </c>
      <c r="C495" t="str">
        <f t="shared" si="49"/>
        <v/>
      </c>
      <c r="D495" t="str">
        <f>IF(Expense_Input!C495="","",Expense_Input!C495)</f>
        <v/>
      </c>
      <c r="E495" s="4" t="str">
        <f>IF(Expense_Input!D495="","",Expense_Input!D495)</f>
        <v/>
      </c>
      <c r="F495" t="str">
        <f>IF(Expense_Input!E495="","",Expense_Input!E495)</f>
        <v/>
      </c>
      <c r="G495" t="str">
        <f>IF(Expense_Input!H495="","",Expense_Input!H495)</f>
        <v/>
      </c>
      <c r="H495" t="str">
        <f>IF(Expense_Input!I495="","Auto",Expense_Input!I495)</f>
        <v>Auto</v>
      </c>
      <c r="I495" t="str">
        <f>IF(F495="","",IFERROR(VLOOKUP(F495,Sales_Tax_Settings!$A$15:$B$27,2,FALSE),"Tax Unknown"))</f>
        <v/>
      </c>
      <c r="J495" t="str">
        <f t="shared" si="50"/>
        <v/>
      </c>
      <c r="K495" t="str">
        <f>IF(AND(Sales_Tax_Settings!$B$5="Yes",G495="Personal Expense",J495="Taxable"),"Yes","No")</f>
        <v>No</v>
      </c>
      <c r="L495" s="4">
        <f t="shared" si="51"/>
        <v>0</v>
      </c>
      <c r="M495" s="4">
        <f t="shared" si="52"/>
        <v>0</v>
      </c>
      <c r="N495" s="4">
        <f t="shared" si="53"/>
        <v>0</v>
      </c>
      <c r="O495" s="4">
        <f t="shared" si="54"/>
        <v>0</v>
      </c>
      <c r="P495" s="4">
        <f>IF(K495&lt;&gt;"Yes",0,IF(Sales_Tax_Settings!$B$6="Yes",E495/(1+Sales_Tax_Settings!$B$10),E495))</f>
        <v>0</v>
      </c>
      <c r="Q495" s="4">
        <f>IF(K495&lt;&gt;"Yes",0,P495*Sales_Tax_Settings!$B$8)</f>
        <v>0</v>
      </c>
      <c r="R495" s="4">
        <f>IF(K495&lt;&gt;"Yes",0,P495*Sales_Tax_Settings!$B$9)</f>
        <v>0</v>
      </c>
      <c r="S495" s="4">
        <f t="shared" si="55"/>
        <v>0</v>
      </c>
    </row>
    <row r="496" spans="1:19" x14ac:dyDescent="0.3">
      <c r="A496" t="str">
        <f>IF(Expense_Input!A496="","",Expense_Input!A496)</f>
        <v/>
      </c>
      <c r="B496" t="str">
        <f>IF(Expense_Input!B496="","",Expense_Input!B496)</f>
        <v/>
      </c>
      <c r="C496" t="str">
        <f t="shared" si="49"/>
        <v/>
      </c>
      <c r="D496" t="str">
        <f>IF(Expense_Input!C496="","",Expense_Input!C496)</f>
        <v/>
      </c>
      <c r="E496" s="4" t="str">
        <f>IF(Expense_Input!D496="","",Expense_Input!D496)</f>
        <v/>
      </c>
      <c r="F496" t="str">
        <f>IF(Expense_Input!E496="","",Expense_Input!E496)</f>
        <v/>
      </c>
      <c r="G496" t="str">
        <f>IF(Expense_Input!H496="","",Expense_Input!H496)</f>
        <v/>
      </c>
      <c r="H496" t="str">
        <f>IF(Expense_Input!I496="","Auto",Expense_Input!I496)</f>
        <v>Auto</v>
      </c>
      <c r="I496" t="str">
        <f>IF(F496="","",IFERROR(VLOOKUP(F496,Sales_Tax_Settings!$A$15:$B$27,2,FALSE),"Tax Unknown"))</f>
        <v/>
      </c>
      <c r="J496" t="str">
        <f t="shared" si="50"/>
        <v/>
      </c>
      <c r="K496" t="str">
        <f>IF(AND(Sales_Tax_Settings!$B$5="Yes",G496="Personal Expense",J496="Taxable"),"Yes","No")</f>
        <v>No</v>
      </c>
      <c r="L496" s="4">
        <f t="shared" si="51"/>
        <v>0</v>
      </c>
      <c r="M496" s="4">
        <f t="shared" si="52"/>
        <v>0</v>
      </c>
      <c r="N496" s="4">
        <f t="shared" si="53"/>
        <v>0</v>
      </c>
      <c r="O496" s="4">
        <f t="shared" si="54"/>
        <v>0</v>
      </c>
      <c r="P496" s="4">
        <f>IF(K496&lt;&gt;"Yes",0,IF(Sales_Tax_Settings!$B$6="Yes",E496/(1+Sales_Tax_Settings!$B$10),E496))</f>
        <v>0</v>
      </c>
      <c r="Q496" s="4">
        <f>IF(K496&lt;&gt;"Yes",0,P496*Sales_Tax_Settings!$B$8)</f>
        <v>0</v>
      </c>
      <c r="R496" s="4">
        <f>IF(K496&lt;&gt;"Yes",0,P496*Sales_Tax_Settings!$B$9)</f>
        <v>0</v>
      </c>
      <c r="S496" s="4">
        <f t="shared" si="55"/>
        <v>0</v>
      </c>
    </row>
    <row r="497" spans="1:19" x14ac:dyDescent="0.3">
      <c r="A497" t="str">
        <f>IF(Expense_Input!A497="","",Expense_Input!A497)</f>
        <v/>
      </c>
      <c r="B497" t="str">
        <f>IF(Expense_Input!B497="","",Expense_Input!B497)</f>
        <v/>
      </c>
      <c r="C497" t="str">
        <f t="shared" si="49"/>
        <v/>
      </c>
      <c r="D497" t="str">
        <f>IF(Expense_Input!C497="","",Expense_Input!C497)</f>
        <v/>
      </c>
      <c r="E497" s="4" t="str">
        <f>IF(Expense_Input!D497="","",Expense_Input!D497)</f>
        <v/>
      </c>
      <c r="F497" t="str">
        <f>IF(Expense_Input!E497="","",Expense_Input!E497)</f>
        <v/>
      </c>
      <c r="G497" t="str">
        <f>IF(Expense_Input!H497="","",Expense_Input!H497)</f>
        <v/>
      </c>
      <c r="H497" t="str">
        <f>IF(Expense_Input!I497="","Auto",Expense_Input!I497)</f>
        <v>Auto</v>
      </c>
      <c r="I497" t="str">
        <f>IF(F497="","",IFERROR(VLOOKUP(F497,Sales_Tax_Settings!$A$15:$B$27,2,FALSE),"Tax Unknown"))</f>
        <v/>
      </c>
      <c r="J497" t="str">
        <f t="shared" si="50"/>
        <v/>
      </c>
      <c r="K497" t="str">
        <f>IF(AND(Sales_Tax_Settings!$B$5="Yes",G497="Personal Expense",J497="Taxable"),"Yes","No")</f>
        <v>No</v>
      </c>
      <c r="L497" s="4">
        <f t="shared" si="51"/>
        <v>0</v>
      </c>
      <c r="M497" s="4">
        <f t="shared" si="52"/>
        <v>0</v>
      </c>
      <c r="N497" s="4">
        <f t="shared" si="53"/>
        <v>0</v>
      </c>
      <c r="O497" s="4">
        <f t="shared" si="54"/>
        <v>0</v>
      </c>
      <c r="P497" s="4">
        <f>IF(K497&lt;&gt;"Yes",0,IF(Sales_Tax_Settings!$B$6="Yes",E497/(1+Sales_Tax_Settings!$B$10),E497))</f>
        <v>0</v>
      </c>
      <c r="Q497" s="4">
        <f>IF(K497&lt;&gt;"Yes",0,P497*Sales_Tax_Settings!$B$8)</f>
        <v>0</v>
      </c>
      <c r="R497" s="4">
        <f>IF(K497&lt;&gt;"Yes",0,P497*Sales_Tax_Settings!$B$9)</f>
        <v>0</v>
      </c>
      <c r="S497" s="4">
        <f t="shared" si="55"/>
        <v>0</v>
      </c>
    </row>
    <row r="498" spans="1:19" x14ac:dyDescent="0.3">
      <c r="A498" t="str">
        <f>IF(Expense_Input!A498="","",Expense_Input!A498)</f>
        <v/>
      </c>
      <c r="B498" t="str">
        <f>IF(Expense_Input!B498="","",Expense_Input!B498)</f>
        <v/>
      </c>
      <c r="C498" t="str">
        <f t="shared" si="49"/>
        <v/>
      </c>
      <c r="D498" t="str">
        <f>IF(Expense_Input!C498="","",Expense_Input!C498)</f>
        <v/>
      </c>
      <c r="E498" s="4" t="str">
        <f>IF(Expense_Input!D498="","",Expense_Input!D498)</f>
        <v/>
      </c>
      <c r="F498" t="str">
        <f>IF(Expense_Input!E498="","",Expense_Input!E498)</f>
        <v/>
      </c>
      <c r="G498" t="str">
        <f>IF(Expense_Input!H498="","",Expense_Input!H498)</f>
        <v/>
      </c>
      <c r="H498" t="str">
        <f>IF(Expense_Input!I498="","Auto",Expense_Input!I498)</f>
        <v>Auto</v>
      </c>
      <c r="I498" t="str">
        <f>IF(F498="","",IFERROR(VLOOKUP(F498,Sales_Tax_Settings!$A$15:$B$27,2,FALSE),"Tax Unknown"))</f>
        <v/>
      </c>
      <c r="J498" t="str">
        <f t="shared" si="50"/>
        <v/>
      </c>
      <c r="K498" t="str">
        <f>IF(AND(Sales_Tax_Settings!$B$5="Yes",G498="Personal Expense",J498="Taxable"),"Yes","No")</f>
        <v>No</v>
      </c>
      <c r="L498" s="4">
        <f t="shared" si="51"/>
        <v>0</v>
      </c>
      <c r="M498" s="4">
        <f t="shared" si="52"/>
        <v>0</v>
      </c>
      <c r="N498" s="4">
        <f t="shared" si="53"/>
        <v>0</v>
      </c>
      <c r="O498" s="4">
        <f t="shared" si="54"/>
        <v>0</v>
      </c>
      <c r="P498" s="4">
        <f>IF(K498&lt;&gt;"Yes",0,IF(Sales_Tax_Settings!$B$6="Yes",E498/(1+Sales_Tax_Settings!$B$10),E498))</f>
        <v>0</v>
      </c>
      <c r="Q498" s="4">
        <f>IF(K498&lt;&gt;"Yes",0,P498*Sales_Tax_Settings!$B$8)</f>
        <v>0</v>
      </c>
      <c r="R498" s="4">
        <f>IF(K498&lt;&gt;"Yes",0,P498*Sales_Tax_Settings!$B$9)</f>
        <v>0</v>
      </c>
      <c r="S498" s="4">
        <f t="shared" si="55"/>
        <v>0</v>
      </c>
    </row>
    <row r="499" spans="1:19" x14ac:dyDescent="0.3">
      <c r="A499" t="str">
        <f>IF(Expense_Input!A499="","",Expense_Input!A499)</f>
        <v/>
      </c>
      <c r="B499" t="str">
        <f>IF(Expense_Input!B499="","",Expense_Input!B499)</f>
        <v/>
      </c>
      <c r="C499" t="str">
        <f t="shared" si="49"/>
        <v/>
      </c>
      <c r="D499" t="str">
        <f>IF(Expense_Input!C499="","",Expense_Input!C499)</f>
        <v/>
      </c>
      <c r="E499" s="4" t="str">
        <f>IF(Expense_Input!D499="","",Expense_Input!D499)</f>
        <v/>
      </c>
      <c r="F499" t="str">
        <f>IF(Expense_Input!E499="","",Expense_Input!E499)</f>
        <v/>
      </c>
      <c r="G499" t="str">
        <f>IF(Expense_Input!H499="","",Expense_Input!H499)</f>
        <v/>
      </c>
      <c r="H499" t="str">
        <f>IF(Expense_Input!I499="","Auto",Expense_Input!I499)</f>
        <v>Auto</v>
      </c>
      <c r="I499" t="str">
        <f>IF(F499="","",IFERROR(VLOOKUP(F499,Sales_Tax_Settings!$A$15:$B$27,2,FALSE),"Tax Unknown"))</f>
        <v/>
      </c>
      <c r="J499" t="str">
        <f t="shared" si="50"/>
        <v/>
      </c>
      <c r="K499" t="str">
        <f>IF(AND(Sales_Tax_Settings!$B$5="Yes",G499="Personal Expense",J499="Taxable"),"Yes","No")</f>
        <v>No</v>
      </c>
      <c r="L499" s="4">
        <f t="shared" si="51"/>
        <v>0</v>
      </c>
      <c r="M499" s="4">
        <f t="shared" si="52"/>
        <v>0</v>
      </c>
      <c r="N499" s="4">
        <f t="shared" si="53"/>
        <v>0</v>
      </c>
      <c r="O499" s="4">
        <f t="shared" si="54"/>
        <v>0</v>
      </c>
      <c r="P499" s="4">
        <f>IF(K499&lt;&gt;"Yes",0,IF(Sales_Tax_Settings!$B$6="Yes",E499/(1+Sales_Tax_Settings!$B$10),E499))</f>
        <v>0</v>
      </c>
      <c r="Q499" s="4">
        <f>IF(K499&lt;&gt;"Yes",0,P499*Sales_Tax_Settings!$B$8)</f>
        <v>0</v>
      </c>
      <c r="R499" s="4">
        <f>IF(K499&lt;&gt;"Yes",0,P499*Sales_Tax_Settings!$B$9)</f>
        <v>0</v>
      </c>
      <c r="S499" s="4">
        <f t="shared" si="55"/>
        <v>0</v>
      </c>
    </row>
    <row r="500" spans="1:19" x14ac:dyDescent="0.3">
      <c r="A500" t="str">
        <f>IF(Expense_Input!A500="","",Expense_Input!A500)</f>
        <v/>
      </c>
      <c r="B500" t="str">
        <f>IF(Expense_Input!B500="","",Expense_Input!B500)</f>
        <v/>
      </c>
      <c r="C500" t="str">
        <f t="shared" si="49"/>
        <v/>
      </c>
      <c r="D500" t="str">
        <f>IF(Expense_Input!C500="","",Expense_Input!C500)</f>
        <v/>
      </c>
      <c r="E500" s="4" t="str">
        <f>IF(Expense_Input!D500="","",Expense_Input!D500)</f>
        <v/>
      </c>
      <c r="F500" t="str">
        <f>IF(Expense_Input!E500="","",Expense_Input!E500)</f>
        <v/>
      </c>
      <c r="G500" t="str">
        <f>IF(Expense_Input!H500="","",Expense_Input!H500)</f>
        <v/>
      </c>
      <c r="H500" t="str">
        <f>IF(Expense_Input!I500="","Auto",Expense_Input!I500)</f>
        <v>Auto</v>
      </c>
      <c r="I500" t="str">
        <f>IF(F500="","",IFERROR(VLOOKUP(F500,Sales_Tax_Settings!$A$15:$B$27,2,FALSE),"Tax Unknown"))</f>
        <v/>
      </c>
      <c r="J500" t="str">
        <f t="shared" si="50"/>
        <v/>
      </c>
      <c r="K500" t="str">
        <f>IF(AND(Sales_Tax_Settings!$B$5="Yes",G500="Personal Expense",J500="Taxable"),"Yes","No")</f>
        <v>No</v>
      </c>
      <c r="L500" s="4">
        <f t="shared" si="51"/>
        <v>0</v>
      </c>
      <c r="M500" s="4">
        <f t="shared" si="52"/>
        <v>0</v>
      </c>
      <c r="N500" s="4">
        <f t="shared" si="53"/>
        <v>0</v>
      </c>
      <c r="O500" s="4">
        <f t="shared" si="54"/>
        <v>0</v>
      </c>
      <c r="P500" s="4">
        <f>IF(K500&lt;&gt;"Yes",0,IF(Sales_Tax_Settings!$B$6="Yes",E500/(1+Sales_Tax_Settings!$B$10),E500))</f>
        <v>0</v>
      </c>
      <c r="Q500" s="4">
        <f>IF(K500&lt;&gt;"Yes",0,P500*Sales_Tax_Settings!$B$8)</f>
        <v>0</v>
      </c>
      <c r="R500" s="4">
        <f>IF(K500&lt;&gt;"Yes",0,P500*Sales_Tax_Settings!$B$9)</f>
        <v>0</v>
      </c>
      <c r="S500" s="4">
        <f t="shared" si="55"/>
        <v>0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/>
  </sheetViews>
  <sheetFormatPr defaultRowHeight="13.5" x14ac:dyDescent="0.3"/>
  <cols>
    <col min="1" max="4" width="18" customWidth="1"/>
  </cols>
  <sheetData>
    <row r="1" spans="1:4" ht="17.649999999999999" x14ac:dyDescent="0.4">
      <c r="A1" s="1" t="s">
        <v>268</v>
      </c>
    </row>
    <row r="2" spans="1:4" x14ac:dyDescent="0.3">
      <c r="A2" s="2" t="s">
        <v>269</v>
      </c>
    </row>
    <row r="3" spans="1:4" x14ac:dyDescent="0.3">
      <c r="A3" s="3" t="s">
        <v>254</v>
      </c>
      <c r="B3" s="3" t="s">
        <v>255</v>
      </c>
      <c r="C3" s="3" t="s">
        <v>256</v>
      </c>
      <c r="D3" s="3" t="s">
        <v>3</v>
      </c>
    </row>
    <row r="4" spans="1:4" x14ac:dyDescent="0.3">
      <c r="A4" t="str">
        <f>Formula_Hub!A64</f>
        <v>Lean Essential Living</v>
      </c>
      <c r="B4" s="4">
        <f>Formula_Hub!B64</f>
        <v>4000</v>
      </c>
      <c r="C4" s="4">
        <f>Formula_Hub!C64</f>
        <v>48000</v>
      </c>
      <c r="D4" t="str">
        <f>Formula_Hub!D64</f>
        <v>Minimum living floor based only on essential expenses</v>
      </c>
    </row>
    <row r="5" spans="1:4" x14ac:dyDescent="0.3">
      <c r="A5" t="str">
        <f>Formula_Hub!A65</f>
        <v>Normal Current Lifestyle</v>
      </c>
      <c r="B5" s="4">
        <f>Formula_Hub!B65</f>
        <v>5150</v>
      </c>
      <c r="C5" s="4">
        <f>Formula_Hub!C65</f>
        <v>61800</v>
      </c>
      <c r="D5" t="str">
        <f>Formula_Hub!D65</f>
        <v>Based on current average personal expense</v>
      </c>
    </row>
    <row r="6" spans="1:4" x14ac:dyDescent="0.3">
      <c r="A6" t="str">
        <f>Formula_Hub!A66</f>
        <v>Conservative Stress Case</v>
      </c>
      <c r="B6" s="4">
        <f>Formula_Hub!B66</f>
        <v>5300</v>
      </c>
      <c r="C6" s="4">
        <f>Formula_Hub!C66</f>
        <v>63600</v>
      </c>
      <c r="D6" t="str">
        <f>Formula_Hub!D66</f>
        <v>Uses the highest monthly spending level as a stress test</v>
      </c>
    </row>
  </sheetData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"/>
  <sheetViews>
    <sheetView workbookViewId="0"/>
  </sheetViews>
  <sheetFormatPr defaultRowHeight="13.5" x14ac:dyDescent="0.3"/>
  <cols>
    <col min="1" max="6" width="18" customWidth="1"/>
  </cols>
  <sheetData>
    <row r="1" spans="1:6" ht="17.649999999999999" x14ac:dyDescent="0.4">
      <c r="A1" s="1" t="s">
        <v>270</v>
      </c>
    </row>
    <row r="2" spans="1:6" x14ac:dyDescent="0.3">
      <c r="A2" s="2" t="s">
        <v>271</v>
      </c>
    </row>
    <row r="3" spans="1:6" x14ac:dyDescent="0.3">
      <c r="A3" s="3" t="s">
        <v>272</v>
      </c>
      <c r="B3" s="3" t="s">
        <v>273</v>
      </c>
      <c r="C3" s="3" t="s">
        <v>274</v>
      </c>
      <c r="D3" s="3" t="s">
        <v>275</v>
      </c>
      <c r="E3" s="3" t="s">
        <v>276</v>
      </c>
      <c r="F3" s="3" t="s">
        <v>277</v>
      </c>
    </row>
    <row r="4" spans="1:6" x14ac:dyDescent="0.3">
      <c r="A4" t="s">
        <v>278</v>
      </c>
      <c r="B4" s="4">
        <f>Formula_Hub!$B$8</f>
        <v>4000</v>
      </c>
      <c r="C4" s="4">
        <f>B4*3</f>
        <v>12000</v>
      </c>
      <c r="D4" s="4">
        <f>B4*6</f>
        <v>24000</v>
      </c>
      <c r="E4" s="4">
        <f>B4*12</f>
        <v>48000</v>
      </c>
      <c r="F4" s="4">
        <f>B4*Input_Settings!$B$8</f>
        <v>48000</v>
      </c>
    </row>
    <row r="5" spans="1:6" x14ac:dyDescent="0.3">
      <c r="A5" t="s">
        <v>279</v>
      </c>
      <c r="B5" s="4">
        <f>Formula_Hub!$B$7</f>
        <v>5150</v>
      </c>
      <c r="C5" s="4">
        <f>B5*3</f>
        <v>15450</v>
      </c>
      <c r="D5" s="4">
        <f>B5*6</f>
        <v>30900</v>
      </c>
      <c r="E5" s="4">
        <f>B5*12</f>
        <v>61800</v>
      </c>
      <c r="F5" s="4">
        <f>B5*Input_Settings!$B$8</f>
        <v>61800</v>
      </c>
    </row>
    <row r="6" spans="1:6" x14ac:dyDescent="0.3">
      <c r="A6" t="s">
        <v>280</v>
      </c>
      <c r="B6" s="4">
        <f>MAX(Formula_Hub!$C$28:$C$39)</f>
        <v>5300</v>
      </c>
      <c r="C6" s="4">
        <f>B6*3</f>
        <v>15900</v>
      </c>
      <c r="D6" s="4">
        <f>B6*6</f>
        <v>31800</v>
      </c>
      <c r="E6" s="4">
        <f>B6*12</f>
        <v>63600</v>
      </c>
      <c r="F6" s="4">
        <f>B6*Input_Settings!$B$8</f>
        <v>63600</v>
      </c>
    </row>
  </sheetData>
  <phoneticPr fontId="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workbookViewId="0"/>
  </sheetViews>
  <sheetFormatPr defaultRowHeight="13.5" x14ac:dyDescent="0.3"/>
  <cols>
    <col min="1" max="2" width="18" customWidth="1"/>
    <col min="3" max="3" width="70" customWidth="1"/>
  </cols>
  <sheetData>
    <row r="1" spans="1:3" ht="17.649999999999999" x14ac:dyDescent="0.4">
      <c r="A1" s="1" t="s">
        <v>281</v>
      </c>
    </row>
    <row r="2" spans="1:3" x14ac:dyDescent="0.3">
      <c r="A2" s="2" t="s">
        <v>282</v>
      </c>
    </row>
    <row r="3" spans="1:3" x14ac:dyDescent="0.3">
      <c r="A3" s="3" t="s">
        <v>2</v>
      </c>
      <c r="B3" s="3" t="s">
        <v>283</v>
      </c>
      <c r="C3" s="3" t="s">
        <v>3</v>
      </c>
    </row>
    <row r="4" spans="1:3" x14ac:dyDescent="0.3">
      <c r="A4" t="s">
        <v>142</v>
      </c>
      <c r="B4" s="4">
        <f>Input_Settings!$B$5</f>
        <v>30000</v>
      </c>
      <c r="C4" t="s">
        <v>284</v>
      </c>
    </row>
    <row r="5" spans="1:3" x14ac:dyDescent="0.3">
      <c r="A5" t="s">
        <v>252</v>
      </c>
      <c r="B5" s="4">
        <f>Formula_Hub!$B$20</f>
        <v>62800</v>
      </c>
      <c r="C5" t="s">
        <v>285</v>
      </c>
    </row>
    <row r="6" spans="1:3" x14ac:dyDescent="0.3">
      <c r="A6" t="s">
        <v>27</v>
      </c>
      <c r="B6" s="4">
        <f>Formula_Hub!$B$21</f>
        <v>0</v>
      </c>
      <c r="C6" t="s">
        <v>286</v>
      </c>
    </row>
    <row r="7" spans="1:3" x14ac:dyDescent="0.3">
      <c r="A7" t="s">
        <v>253</v>
      </c>
      <c r="B7" s="4">
        <f>Formula_Hub!$B$22</f>
        <v>32800</v>
      </c>
      <c r="C7" t="s">
        <v>287</v>
      </c>
    </row>
    <row r="8" spans="1:3" x14ac:dyDescent="0.3">
      <c r="A8" t="s">
        <v>26</v>
      </c>
      <c r="B8" s="4">
        <f>Formula_Hub!$B$16</f>
        <v>5.825242718446602</v>
      </c>
      <c r="C8" t="s">
        <v>288</v>
      </c>
    </row>
    <row r="9" spans="1:3" x14ac:dyDescent="0.3">
      <c r="A9" t="s">
        <v>31</v>
      </c>
      <c r="B9" t="str">
        <f>Formula_Hub!$B$23</f>
        <v>Tight</v>
      </c>
      <c r="C9" t="s">
        <v>289</v>
      </c>
    </row>
    <row r="10" spans="1:3" x14ac:dyDescent="0.3">
      <c r="A10" t="s">
        <v>32</v>
      </c>
      <c r="B10" t="str">
        <f>IF(B7&gt;0,"Build the cash reserve first, then consider investing",IF(B4&gt;0,"Consider investing the amount above the reserve gradually for long-term goals","Enter current cash in Input_Settings first"))</f>
        <v>Build the cash reserve first, then consider investing</v>
      </c>
      <c r="C10" t="s">
        <v>290</v>
      </c>
    </row>
  </sheetData>
  <phoneticPr fontId="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1"/>
  <sheetViews>
    <sheetView workbookViewId="0"/>
  </sheetViews>
  <sheetFormatPr defaultRowHeight="13.5" x14ac:dyDescent="0.3"/>
  <cols>
    <col min="1" max="3" width="18" customWidth="1"/>
    <col min="4" max="4" width="50" customWidth="1"/>
    <col min="5" max="5" width="18" customWidth="1"/>
    <col min="6" max="6" width="36" customWidth="1"/>
  </cols>
  <sheetData>
    <row r="1" spans="1:6" ht="17.649999999999999" x14ac:dyDescent="0.4">
      <c r="A1" s="1" t="s">
        <v>291</v>
      </c>
    </row>
    <row r="2" spans="1:6" x14ac:dyDescent="0.3">
      <c r="A2" s="2" t="s">
        <v>292</v>
      </c>
    </row>
    <row r="4" spans="1:6" x14ac:dyDescent="0.3">
      <c r="A4" s="3" t="s">
        <v>293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55</v>
      </c>
    </row>
    <row r="5" spans="1:6" x14ac:dyDescent="0.3">
      <c r="A5" t="s">
        <v>298</v>
      </c>
      <c r="B5" t="s">
        <v>299</v>
      </c>
      <c r="C5" t="s">
        <v>300</v>
      </c>
      <c r="D5" t="s">
        <v>301</v>
      </c>
      <c r="E5" t="s">
        <v>170</v>
      </c>
      <c r="F5" t="s">
        <v>302</v>
      </c>
    </row>
    <row r="6" spans="1:6" x14ac:dyDescent="0.3">
      <c r="A6" t="s">
        <v>303</v>
      </c>
      <c r="B6" t="s">
        <v>304</v>
      </c>
      <c r="C6" t="s">
        <v>300</v>
      </c>
      <c r="D6" t="s">
        <v>305</v>
      </c>
      <c r="E6" t="s">
        <v>170</v>
      </c>
      <c r="F6" t="s">
        <v>302</v>
      </c>
    </row>
    <row r="7" spans="1:6" x14ac:dyDescent="0.3">
      <c r="A7" t="s">
        <v>306</v>
      </c>
      <c r="B7" t="s">
        <v>307</v>
      </c>
      <c r="C7" t="s">
        <v>300</v>
      </c>
      <c r="D7" t="s">
        <v>308</v>
      </c>
      <c r="E7" t="s">
        <v>170</v>
      </c>
      <c r="F7" t="s">
        <v>309</v>
      </c>
    </row>
    <row r="8" spans="1:6" x14ac:dyDescent="0.3">
      <c r="A8" t="s">
        <v>310</v>
      </c>
      <c r="B8" t="s">
        <v>311</v>
      </c>
      <c r="C8" t="s">
        <v>312</v>
      </c>
      <c r="D8" t="s">
        <v>313</v>
      </c>
      <c r="E8" t="s">
        <v>314</v>
      </c>
      <c r="F8" t="s">
        <v>315</v>
      </c>
    </row>
    <row r="9" spans="1:6" x14ac:dyDescent="0.3">
      <c r="A9" t="s">
        <v>310</v>
      </c>
      <c r="B9" t="s">
        <v>316</v>
      </c>
      <c r="C9" t="s">
        <v>317</v>
      </c>
      <c r="D9" t="s">
        <v>318</v>
      </c>
      <c r="E9" t="s">
        <v>314</v>
      </c>
      <c r="F9" t="s">
        <v>319</v>
      </c>
    </row>
    <row r="10" spans="1:6" x14ac:dyDescent="0.3">
      <c r="A10" t="s">
        <v>320</v>
      </c>
      <c r="B10" t="s">
        <v>321</v>
      </c>
      <c r="C10" t="s">
        <v>322</v>
      </c>
      <c r="D10" t="s">
        <v>323</v>
      </c>
      <c r="E10" t="s">
        <v>324</v>
      </c>
      <c r="F10" t="s">
        <v>325</v>
      </c>
    </row>
    <row r="11" spans="1:6" x14ac:dyDescent="0.3">
      <c r="A11" t="s">
        <v>326</v>
      </c>
      <c r="B11" t="s">
        <v>327</v>
      </c>
      <c r="C11" t="s">
        <v>328</v>
      </c>
      <c r="D11" t="s">
        <v>329</v>
      </c>
      <c r="E11" t="s">
        <v>324</v>
      </c>
      <c r="F11" t="s">
        <v>330</v>
      </c>
    </row>
    <row r="12" spans="1:6" x14ac:dyDescent="0.3">
      <c r="A12" t="s">
        <v>331</v>
      </c>
      <c r="B12" t="s">
        <v>332</v>
      </c>
      <c r="C12" t="s">
        <v>333</v>
      </c>
      <c r="D12" t="s">
        <v>334</v>
      </c>
      <c r="E12" t="s">
        <v>324</v>
      </c>
      <c r="F12" t="s">
        <v>335</v>
      </c>
    </row>
    <row r="13" spans="1:6" x14ac:dyDescent="0.3">
      <c r="A13" t="s">
        <v>331</v>
      </c>
      <c r="B13" t="s">
        <v>336</v>
      </c>
      <c r="C13" t="s">
        <v>337</v>
      </c>
      <c r="D13" t="s">
        <v>338</v>
      </c>
      <c r="E13" t="s">
        <v>324</v>
      </c>
      <c r="F13" t="s">
        <v>339</v>
      </c>
    </row>
    <row r="14" spans="1:6" x14ac:dyDescent="0.3">
      <c r="A14" t="s">
        <v>331</v>
      </c>
      <c r="B14" t="s">
        <v>340</v>
      </c>
      <c r="C14" t="s">
        <v>328</v>
      </c>
      <c r="D14" t="s">
        <v>341</v>
      </c>
      <c r="E14" t="s">
        <v>324</v>
      </c>
      <c r="F14" t="s">
        <v>342</v>
      </c>
    </row>
    <row r="15" spans="1:6" x14ac:dyDescent="0.3">
      <c r="A15" t="s">
        <v>343</v>
      </c>
      <c r="B15" t="s">
        <v>344</v>
      </c>
      <c r="C15" t="s">
        <v>345</v>
      </c>
      <c r="D15" t="s">
        <v>346</v>
      </c>
      <c r="E15" t="s">
        <v>324</v>
      </c>
      <c r="F15" t="s">
        <v>347</v>
      </c>
    </row>
    <row r="16" spans="1:6" x14ac:dyDescent="0.3">
      <c r="A16" t="s">
        <v>348</v>
      </c>
      <c r="B16" t="s">
        <v>344</v>
      </c>
      <c r="C16" t="s">
        <v>345</v>
      </c>
      <c r="D16" t="s">
        <v>349</v>
      </c>
      <c r="E16" t="s">
        <v>324</v>
      </c>
      <c r="F16" t="s">
        <v>347</v>
      </c>
    </row>
    <row r="17" spans="1:6" x14ac:dyDescent="0.3">
      <c r="A17" t="s">
        <v>350</v>
      </c>
      <c r="B17" t="s">
        <v>344</v>
      </c>
      <c r="C17" t="s">
        <v>345</v>
      </c>
      <c r="D17" t="s">
        <v>351</v>
      </c>
      <c r="E17" t="s">
        <v>324</v>
      </c>
      <c r="F17" t="s">
        <v>347</v>
      </c>
    </row>
    <row r="18" spans="1:6" x14ac:dyDescent="0.3">
      <c r="A18" t="s">
        <v>352</v>
      </c>
      <c r="B18" t="s">
        <v>344</v>
      </c>
      <c r="C18" t="s">
        <v>353</v>
      </c>
      <c r="D18" t="s">
        <v>354</v>
      </c>
      <c r="E18" t="s">
        <v>324</v>
      </c>
      <c r="F18" t="s">
        <v>347</v>
      </c>
    </row>
    <row r="19" spans="1:6" x14ac:dyDescent="0.3">
      <c r="A19" t="s">
        <v>355</v>
      </c>
      <c r="B19" t="s">
        <v>344</v>
      </c>
      <c r="C19" t="s">
        <v>353</v>
      </c>
      <c r="D19" t="s">
        <v>356</v>
      </c>
      <c r="E19" t="s">
        <v>324</v>
      </c>
      <c r="F19" t="s">
        <v>347</v>
      </c>
    </row>
    <row r="20" spans="1:6" x14ac:dyDescent="0.3">
      <c r="A20" t="s">
        <v>357</v>
      </c>
      <c r="B20" t="s">
        <v>344</v>
      </c>
      <c r="C20" t="s">
        <v>345</v>
      </c>
      <c r="D20" t="s">
        <v>358</v>
      </c>
      <c r="E20" t="s">
        <v>324</v>
      </c>
      <c r="F20" t="s">
        <v>347</v>
      </c>
    </row>
    <row r="24" spans="1:6" x14ac:dyDescent="0.3">
      <c r="A24" t="s">
        <v>359</v>
      </c>
    </row>
    <row r="25" spans="1:6" ht="27" x14ac:dyDescent="0.3">
      <c r="A25" s="3" t="s">
        <v>360</v>
      </c>
      <c r="B25" s="3" t="s">
        <v>4</v>
      </c>
      <c r="C25" s="3" t="s">
        <v>361</v>
      </c>
      <c r="D25" s="3"/>
      <c r="E25" s="3"/>
      <c r="F25" s="3"/>
    </row>
    <row r="26" spans="1:6" x14ac:dyDescent="0.3">
      <c r="A26" t="s">
        <v>328</v>
      </c>
      <c r="B26" t="s">
        <v>362</v>
      </c>
      <c r="C26" t="s">
        <v>363</v>
      </c>
    </row>
    <row r="27" spans="1:6" x14ac:dyDescent="0.3">
      <c r="A27" t="s">
        <v>364</v>
      </c>
      <c r="B27" t="s">
        <v>365</v>
      </c>
      <c r="C27" t="s">
        <v>366</v>
      </c>
    </row>
    <row r="28" spans="1:6" x14ac:dyDescent="0.3">
      <c r="A28" t="s">
        <v>367</v>
      </c>
      <c r="B28" t="s">
        <v>368</v>
      </c>
      <c r="C28" t="s">
        <v>369</v>
      </c>
    </row>
    <row r="29" spans="1:6" x14ac:dyDescent="0.3">
      <c r="A29" t="s">
        <v>370</v>
      </c>
      <c r="B29" t="s">
        <v>371</v>
      </c>
      <c r="C29" t="s">
        <v>372</v>
      </c>
    </row>
    <row r="30" spans="1:6" x14ac:dyDescent="0.3">
      <c r="A30" t="s">
        <v>373</v>
      </c>
      <c r="B30" t="s">
        <v>374</v>
      </c>
      <c r="C30" t="s">
        <v>375</v>
      </c>
    </row>
    <row r="31" spans="1:6" x14ac:dyDescent="0.3">
      <c r="A31" t="s">
        <v>376</v>
      </c>
      <c r="B31" t="s">
        <v>377</v>
      </c>
      <c r="C31" t="s">
        <v>378</v>
      </c>
    </row>
  </sheetData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workbookViewId="0"/>
  </sheetViews>
  <sheetFormatPr defaultRowHeight="13.5" x14ac:dyDescent="0.3"/>
  <cols>
    <col min="1" max="8" width="18" customWidth="1"/>
  </cols>
  <sheetData>
    <row r="1" spans="1:8" ht="17.649999999999999" x14ac:dyDescent="0.4">
      <c r="A1" s="1" t="s">
        <v>379</v>
      </c>
    </row>
    <row r="2" spans="1:8" x14ac:dyDescent="0.3">
      <c r="A2" s="2" t="s">
        <v>380</v>
      </c>
    </row>
    <row r="4" spans="1:8" x14ac:dyDescent="0.3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130</v>
      </c>
      <c r="G4" s="3" t="s">
        <v>381</v>
      </c>
      <c r="H4" s="3" t="s">
        <v>174</v>
      </c>
    </row>
    <row r="5" spans="1:8" x14ac:dyDescent="0.3">
      <c r="A5" t="s">
        <v>58</v>
      </c>
      <c r="B5" t="s">
        <v>59</v>
      </c>
      <c r="C5" t="s">
        <v>60</v>
      </c>
      <c r="D5" t="s">
        <v>38</v>
      </c>
      <c r="E5" t="s">
        <v>382</v>
      </c>
      <c r="F5" t="s">
        <v>132</v>
      </c>
      <c r="G5" t="s">
        <v>170</v>
      </c>
      <c r="H5" t="s">
        <v>175</v>
      </c>
    </row>
    <row r="6" spans="1:8" x14ac:dyDescent="0.3">
      <c r="A6" t="s">
        <v>65</v>
      </c>
      <c r="B6" t="s">
        <v>66</v>
      </c>
      <c r="C6" t="s">
        <v>70</v>
      </c>
      <c r="D6" t="s">
        <v>219</v>
      </c>
      <c r="E6" t="s">
        <v>67</v>
      </c>
      <c r="F6" t="s">
        <v>383</v>
      </c>
      <c r="G6" t="s">
        <v>324</v>
      </c>
      <c r="H6" t="s">
        <v>384</v>
      </c>
    </row>
    <row r="7" spans="1:8" x14ac:dyDescent="0.3">
      <c r="A7" t="s">
        <v>74</v>
      </c>
      <c r="B7" t="s">
        <v>92</v>
      </c>
      <c r="D7" t="s">
        <v>220</v>
      </c>
      <c r="E7" t="s">
        <v>71</v>
      </c>
      <c r="F7" t="s">
        <v>385</v>
      </c>
      <c r="H7" t="s">
        <v>386</v>
      </c>
    </row>
    <row r="8" spans="1:8" x14ac:dyDescent="0.3">
      <c r="A8" t="s">
        <v>77</v>
      </c>
      <c r="D8" t="s">
        <v>218</v>
      </c>
      <c r="E8" t="s">
        <v>61</v>
      </c>
      <c r="F8" t="s">
        <v>387</v>
      </c>
      <c r="H8" t="s">
        <v>388</v>
      </c>
    </row>
    <row r="9" spans="1:8" x14ac:dyDescent="0.3">
      <c r="A9" t="s">
        <v>80</v>
      </c>
      <c r="D9" t="s">
        <v>389</v>
      </c>
      <c r="E9" t="s">
        <v>93</v>
      </c>
      <c r="F9" t="s">
        <v>136</v>
      </c>
      <c r="H9" t="s">
        <v>390</v>
      </c>
    </row>
    <row r="10" spans="1:8" x14ac:dyDescent="0.3">
      <c r="A10" t="s">
        <v>82</v>
      </c>
      <c r="E10" t="s">
        <v>102</v>
      </c>
      <c r="F10" t="s">
        <v>391</v>
      </c>
    </row>
    <row r="11" spans="1:8" x14ac:dyDescent="0.3">
      <c r="A11" t="s">
        <v>85</v>
      </c>
      <c r="F11" t="s">
        <v>105</v>
      </c>
    </row>
    <row r="12" spans="1:8" x14ac:dyDescent="0.3">
      <c r="A12" t="s">
        <v>88</v>
      </c>
    </row>
    <row r="13" spans="1:8" x14ac:dyDescent="0.3">
      <c r="A13" t="s">
        <v>91</v>
      </c>
    </row>
    <row r="14" spans="1:8" x14ac:dyDescent="0.3">
      <c r="A14" t="s">
        <v>96</v>
      </c>
    </row>
    <row r="15" spans="1:8" x14ac:dyDescent="0.3">
      <c r="A15" t="s">
        <v>98</v>
      </c>
    </row>
    <row r="16" spans="1:8" x14ac:dyDescent="0.3">
      <c r="A16" t="s">
        <v>101</v>
      </c>
    </row>
    <row r="17" spans="1:1" x14ac:dyDescent="0.3">
      <c r="A17" t="s">
        <v>105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Instructions</vt:lpstr>
      <vt:lpstr>Dashboard</vt:lpstr>
      <vt:lpstr>Expense_Input</vt:lpstr>
      <vt:lpstr>Income_Input</vt:lpstr>
      <vt:lpstr>Input_Settings</vt:lpstr>
      <vt:lpstr>Sales_Tax_Settings</vt:lpstr>
      <vt:lpstr>Monthly_Summary</vt:lpstr>
      <vt:lpstr>Category_Summary</vt:lpstr>
      <vt:lpstr>Sales_Tax_Analysis</vt:lpstr>
      <vt:lpstr>Formula_Hub</vt:lpstr>
      <vt:lpstr>Sales_Tax_Detail</vt:lpstr>
      <vt:lpstr>Annual_Projection</vt:lpstr>
      <vt:lpstr>Emergency_Fund</vt:lpstr>
      <vt:lpstr>Investable_Cash</vt:lpstr>
      <vt:lpstr>Formula_Notes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YinPeng2025R9000P</cp:lastModifiedBy>
  <dcterms:created xsi:type="dcterms:W3CDTF">2026-05-04T05:46:52Z</dcterms:created>
  <dcterms:modified xsi:type="dcterms:W3CDTF">2026-05-04T13:41:31Z</dcterms:modified>
</cp:coreProperties>
</file>